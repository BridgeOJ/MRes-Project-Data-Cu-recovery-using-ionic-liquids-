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ojb125_ic_ac_uk/Documents/21 - Research Master's Project/Data/XRF/"/>
    </mc:Choice>
  </mc:AlternateContent>
  <xr:revisionPtr revIDLastSave="297" documentId="8_{123D3709-5814-4C46-9861-774944A0CD19}" xr6:coauthVersionLast="47" xr6:coauthVersionMax="47" xr10:uidLastSave="{BD017EDD-BA10-4E1E-B9CB-E80F5080BBE5}"/>
  <bookViews>
    <workbookView minimized="1" xWindow="38385" yWindow="3885" windowWidth="12795" windowHeight="7005" activeTab="2" xr2:uid="{BF3A4EBB-6748-4354-9CCD-B8492AC46714}"/>
  </bookViews>
  <sheets>
    <sheet name="XRF Overview" sheetId="4" r:id="rId1"/>
    <sheet name="UBH Pre Sep Powder" sheetId="1" r:id="rId2"/>
    <sheet name="UBH Post Sep Powder" sheetId="2" r:id="rId3"/>
    <sheet name="Fraunhofer Sample A" sheetId="3" r:id="rId4"/>
    <sheet name="Fraunhofer Sample B" sheetId="5" r:id="rId5"/>
    <sheet name="UBH Glass Powder" sheetId="6" r:id="rId6"/>
    <sheet name="UBH Ground Glass" sheetId="7" r:id="rId7"/>
    <sheet name="UBH Semi-Ground Cu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D31" i="1"/>
  <c r="D32" i="1"/>
  <c r="D33" i="1"/>
  <c r="D34" i="1"/>
  <c r="D35" i="1"/>
  <c r="D36" i="1"/>
  <c r="D37" i="1"/>
  <c r="D26" i="1"/>
  <c r="D27" i="1"/>
  <c r="D28" i="1"/>
  <c r="D29" i="1"/>
  <c r="C39" i="1"/>
  <c r="F6" i="1"/>
  <c r="E6" i="4"/>
  <c r="E5" i="4"/>
  <c r="E4" i="4"/>
  <c r="E3" i="4"/>
</calcChain>
</file>

<file path=xl/sharedStrings.xml><?xml version="1.0" encoding="utf-8"?>
<sst xmlns="http://schemas.openxmlformats.org/spreadsheetml/2006/main" count="473" uniqueCount="77">
  <si>
    <t>1. UBH Pre Sep Powder Results</t>
  </si>
  <si>
    <t>Compound</t>
  </si>
  <si>
    <t>Conc</t>
  </si>
  <si>
    <t>Unit</t>
  </si>
  <si>
    <t>Na</t>
  </si>
  <si>
    <t>%</t>
  </si>
  <si>
    <t>Mg</t>
  </si>
  <si>
    <t>Al</t>
  </si>
  <si>
    <t>Si</t>
  </si>
  <si>
    <t>P</t>
  </si>
  <si>
    <t>S</t>
  </si>
  <si>
    <t>ppm</t>
  </si>
  <si>
    <t>Cl</t>
  </si>
  <si>
    <t>Ca</t>
  </si>
  <si>
    <t>Ti</t>
  </si>
  <si>
    <t>V</t>
  </si>
  <si>
    <t>Cr</t>
  </si>
  <si>
    <t>Mn</t>
  </si>
  <si>
    <t>Fe</t>
  </si>
  <si>
    <t>Cu</t>
  </si>
  <si>
    <t>Zn</t>
  </si>
  <si>
    <t>Sr</t>
  </si>
  <si>
    <t>Zr</t>
  </si>
  <si>
    <t>Ag</t>
  </si>
  <si>
    <t>Sn</t>
  </si>
  <si>
    <t>Sb</t>
  </si>
  <si>
    <t>Pb</t>
  </si>
  <si>
    <t>2. UBH Post Sep Powder Results</t>
  </si>
  <si>
    <t>3. Fraunhofer Sample A</t>
  </si>
  <si>
    <t>Ni</t>
  </si>
  <si>
    <t>Bi</t>
  </si>
  <si>
    <t>Cu/Ag</t>
  </si>
  <si>
    <t>UBH Post Sep Powder</t>
  </si>
  <si>
    <t xml:space="preserve">UBH Pre Sep Powder </t>
  </si>
  <si>
    <t>Fraunhofer Sample A</t>
  </si>
  <si>
    <t>4. Fraunhofer Sample B</t>
  </si>
  <si>
    <t>Ga</t>
  </si>
  <si>
    <t>Te</t>
  </si>
  <si>
    <t>Yb</t>
  </si>
  <si>
    <t>5. UBH Glass Powder</t>
  </si>
  <si>
    <t>K</t>
  </si>
  <si>
    <t>As</t>
  </si>
  <si>
    <t>Fraunhofer Sample B</t>
  </si>
  <si>
    <t>Cu %</t>
  </si>
  <si>
    <t>Ag %</t>
  </si>
  <si>
    <t>6. UBH Ground Glass</t>
  </si>
  <si>
    <t>7. UBH Semi-Ground Cu</t>
  </si>
  <si>
    <t>Au</t>
  </si>
  <si>
    <t>Sample A</t>
  </si>
  <si>
    <t>Sample B</t>
  </si>
  <si>
    <t>Sample C</t>
  </si>
  <si>
    <t>Sample D</t>
  </si>
  <si>
    <t>Ionic Liquid</t>
  </si>
  <si>
    <t>Cation Chain</t>
  </si>
  <si>
    <t>[EMIm]HSO₄</t>
  </si>
  <si>
    <t>Ethyl</t>
  </si>
  <si>
    <t>[BMIm]HSO₄</t>
  </si>
  <si>
    <t>Butyl</t>
  </si>
  <si>
    <t>[Hmim]HSO₄</t>
  </si>
  <si>
    <t>Hexyl</t>
  </si>
  <si>
    <t>[OMIm]HSO₄</t>
  </si>
  <si>
    <t>Octyl</t>
  </si>
  <si>
    <t>Reagent</t>
  </si>
  <si>
    <t>Use</t>
  </si>
  <si>
    <t>Cu leaching from sulphide ores</t>
  </si>
  <si>
    <t>NaCNNaCN</t>
  </si>
  <si>
    <t>Gold/silver complexation</t>
  </si>
  <si>
    <t>H2SO4H2​SO4​</t>
  </si>
  <si>
    <t>HNO3HNO3​</t>
  </si>
  <si>
    <t>Ag, Cu dissolution from PV cells 1 2</t>
  </si>
  <si>
    <t>Aqua Regia HCl + HNO3HCl + HNO3​</t>
  </si>
  <si>
    <t>Broad metal dissolution from WEEE 3</t>
  </si>
  <si>
    <t>Element</t>
  </si>
  <si>
    <t>Post-EL (mg/Kg)</t>
  </si>
  <si>
    <t>Pre-EL (mg/Kg)</t>
  </si>
  <si>
    <t>Pre-EL (wt%)</t>
  </si>
  <si>
    <t>Post-EL (wt%)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</si>
</sst>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80261-4175-4D53-8721-84566B3D48EE}">
  <dimension ref="B2:E12"/>
  <sheetViews>
    <sheetView workbookViewId="0">
      <selection activeCell="G27" sqref="G27"/>
    </sheetView>
  </sheetViews>
  <sheetFormatPr defaultRowHeight="14.5" x14ac:dyDescent="0.35"/>
  <cols>
    <col min="2" max="2" width="20.54296875" customWidth="1"/>
    <col min="3" max="3" width="12.1796875" customWidth="1"/>
  </cols>
  <sheetData>
    <row r="2" spans="2:5" x14ac:dyDescent="0.35">
      <c r="B2" s="1"/>
      <c r="C2" s="1" t="s">
        <v>43</v>
      </c>
      <c r="D2" s="1" t="s">
        <v>44</v>
      </c>
      <c r="E2" s="1" t="s">
        <v>31</v>
      </c>
    </row>
    <row r="3" spans="2:5" x14ac:dyDescent="0.35">
      <c r="B3" s="1" t="s">
        <v>33</v>
      </c>
      <c r="C3" s="1">
        <v>2.8220000000000001</v>
      </c>
      <c r="D3" s="1">
        <v>0.20799999999999999</v>
      </c>
      <c r="E3" s="2">
        <f>'UBH Pre Sep Powder'!C17/'UBH Pre Sep Powder'!C21</f>
        <v>13.567307692307693</v>
      </c>
    </row>
    <row r="4" spans="2:5" x14ac:dyDescent="0.35">
      <c r="B4" s="1" t="s">
        <v>32</v>
      </c>
      <c r="C4" s="1">
        <v>0.432</v>
      </c>
      <c r="D4" s="1">
        <v>0.255</v>
      </c>
      <c r="E4" s="2">
        <f>'UBH Post Sep Powder'!C16/'UBH Post Sep Powder'!C20</f>
        <v>1.6941176470588235</v>
      </c>
    </row>
    <row r="5" spans="2:5" x14ac:dyDescent="0.35">
      <c r="B5" s="1" t="s">
        <v>34</v>
      </c>
      <c r="C5" s="1">
        <v>0.55600000000000005</v>
      </c>
      <c r="D5" s="1">
        <v>1.629</v>
      </c>
      <c r="E5" s="2">
        <f>'Fraunhofer Sample A'!C17/'Fraunhofer Sample A'!C21</f>
        <v>0.34131368937998774</v>
      </c>
    </row>
    <row r="6" spans="2:5" x14ac:dyDescent="0.35">
      <c r="B6" s="1" t="s">
        <v>42</v>
      </c>
      <c r="C6" s="1">
        <v>1.772</v>
      </c>
      <c r="D6" s="1">
        <v>2.8780000000000001</v>
      </c>
      <c r="E6" s="2">
        <f>'Fraunhofer Sample B'!C15/'Fraunhofer Sample B'!C19</f>
        <v>0.61570535093815149</v>
      </c>
    </row>
    <row r="8" spans="2:5" x14ac:dyDescent="0.35">
      <c r="B8" s="1"/>
      <c r="C8" s="1" t="s">
        <v>43</v>
      </c>
      <c r="D8" s="1" t="s">
        <v>44</v>
      </c>
      <c r="E8" s="1"/>
    </row>
    <row r="9" spans="2:5" x14ac:dyDescent="0.35">
      <c r="B9" s="1" t="s">
        <v>48</v>
      </c>
      <c r="C9" s="1">
        <v>2.8220000000000001</v>
      </c>
      <c r="D9" s="1">
        <v>0.20799999999999999</v>
      </c>
      <c r="E9" s="2"/>
    </row>
    <row r="10" spans="2:5" x14ac:dyDescent="0.35">
      <c r="B10" s="1" t="s">
        <v>49</v>
      </c>
      <c r="C10" s="1">
        <v>0.432</v>
      </c>
      <c r="D10" s="1">
        <v>0.255</v>
      </c>
      <c r="E10" s="2"/>
    </row>
    <row r="11" spans="2:5" x14ac:dyDescent="0.35">
      <c r="B11" s="1" t="s">
        <v>50</v>
      </c>
      <c r="C11" s="1">
        <v>0.55600000000000005</v>
      </c>
      <c r="D11" s="1">
        <v>1.629</v>
      </c>
      <c r="E11" s="2"/>
    </row>
    <row r="12" spans="2:5" x14ac:dyDescent="0.35">
      <c r="B12" s="1" t="s">
        <v>51</v>
      </c>
      <c r="C12" s="1">
        <v>1.772</v>
      </c>
      <c r="D12" s="1">
        <v>2.8780000000000001</v>
      </c>
      <c r="E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326C9-6FDF-4117-8B00-E94E2994DB06}">
  <dimension ref="B2:N44"/>
  <sheetViews>
    <sheetView workbookViewId="0">
      <selection activeCell="B2" sqref="B2:D24"/>
    </sheetView>
  </sheetViews>
  <sheetFormatPr defaultRowHeight="14.5" x14ac:dyDescent="0.35"/>
  <cols>
    <col min="2" max="2" width="12.453125" customWidth="1"/>
    <col min="3" max="3" width="10.7265625" customWidth="1"/>
    <col min="8" max="8" width="12.54296875" customWidth="1"/>
    <col min="9" max="9" width="33.90625" customWidth="1"/>
    <col min="13" max="13" width="12.6328125" customWidth="1"/>
    <col min="14" max="14" width="11.7265625" customWidth="1"/>
  </cols>
  <sheetData>
    <row r="2" spans="2:6" x14ac:dyDescent="0.35">
      <c r="B2" s="3" t="s">
        <v>0</v>
      </c>
      <c r="C2" s="3"/>
      <c r="D2" s="3"/>
    </row>
    <row r="3" spans="2:6" x14ac:dyDescent="0.35">
      <c r="B3" s="1" t="s">
        <v>1</v>
      </c>
      <c r="C3" s="1" t="s">
        <v>2</v>
      </c>
      <c r="D3" s="1" t="s">
        <v>3</v>
      </c>
    </row>
    <row r="4" spans="2:6" x14ac:dyDescent="0.35">
      <c r="B4" s="1" t="s">
        <v>4</v>
      </c>
      <c r="C4" s="1">
        <v>2.722</v>
      </c>
      <c r="D4" s="1" t="s">
        <v>5</v>
      </c>
    </row>
    <row r="5" spans="2:6" x14ac:dyDescent="0.35">
      <c r="B5" s="1" t="s">
        <v>6</v>
      </c>
      <c r="C5" s="1">
        <v>0.65800000000000003</v>
      </c>
      <c r="D5" s="1" t="s">
        <v>5</v>
      </c>
    </row>
    <row r="6" spans="2:6" x14ac:dyDescent="0.35">
      <c r="B6" s="1" t="s">
        <v>7</v>
      </c>
      <c r="C6" s="1">
        <v>0.745</v>
      </c>
      <c r="D6" s="1" t="s">
        <v>5</v>
      </c>
      <c r="F6">
        <f>SUM(C4:C8,C11:C12,C16:C17,C21:C22,C24)</f>
        <v>43.13000000000001</v>
      </c>
    </row>
    <row r="7" spans="2:6" x14ac:dyDescent="0.35">
      <c r="B7" s="1" t="s">
        <v>8</v>
      </c>
      <c r="C7" s="1">
        <v>26.227</v>
      </c>
      <c r="D7" s="1" t="s">
        <v>5</v>
      </c>
    </row>
    <row r="8" spans="2:6" x14ac:dyDescent="0.35">
      <c r="B8" s="1" t="s">
        <v>9</v>
      </c>
      <c r="C8" s="1">
        <v>0.15</v>
      </c>
      <c r="D8" s="1" t="s">
        <v>5</v>
      </c>
    </row>
    <row r="9" spans="2:6" x14ac:dyDescent="0.35">
      <c r="B9" s="1" t="s">
        <v>10</v>
      </c>
      <c r="C9" s="1">
        <v>274.89999999999998</v>
      </c>
      <c r="D9" s="1" t="s">
        <v>11</v>
      </c>
    </row>
    <row r="10" spans="2:6" x14ac:dyDescent="0.35">
      <c r="B10" s="1" t="s">
        <v>12</v>
      </c>
      <c r="C10" s="1">
        <v>810.8</v>
      </c>
      <c r="D10" s="1" t="s">
        <v>11</v>
      </c>
    </row>
    <row r="11" spans="2:6" x14ac:dyDescent="0.35">
      <c r="B11" s="1" t="s">
        <v>13</v>
      </c>
      <c r="C11" s="1">
        <v>6.4450000000000003</v>
      </c>
      <c r="D11" s="1" t="s">
        <v>5</v>
      </c>
    </row>
    <row r="12" spans="2:6" x14ac:dyDescent="0.35">
      <c r="B12" s="1" t="s">
        <v>14</v>
      </c>
      <c r="C12" s="1">
        <v>1.5760000000000001</v>
      </c>
      <c r="D12" s="1" t="s">
        <v>5</v>
      </c>
    </row>
    <row r="13" spans="2:6" x14ac:dyDescent="0.35">
      <c r="B13" s="1" t="s">
        <v>15</v>
      </c>
      <c r="C13" s="1">
        <v>178.2</v>
      </c>
      <c r="D13" s="1" t="s">
        <v>11</v>
      </c>
    </row>
    <row r="14" spans="2:6" x14ac:dyDescent="0.35">
      <c r="B14" s="1" t="s">
        <v>16</v>
      </c>
      <c r="C14" s="1">
        <v>247.9</v>
      </c>
      <c r="D14" s="1" t="s">
        <v>11</v>
      </c>
    </row>
    <row r="15" spans="2:6" x14ac:dyDescent="0.35">
      <c r="B15" s="1" t="s">
        <v>17</v>
      </c>
      <c r="C15" s="1">
        <v>49.6</v>
      </c>
      <c r="D15" s="1" t="s">
        <v>11</v>
      </c>
    </row>
    <row r="16" spans="2:6" x14ac:dyDescent="0.35">
      <c r="B16" s="1" t="s">
        <v>18</v>
      </c>
      <c r="C16" s="1">
        <v>0.53400000000000003</v>
      </c>
      <c r="D16" s="1" t="s">
        <v>5</v>
      </c>
    </row>
    <row r="17" spans="2:14" x14ac:dyDescent="0.35">
      <c r="B17" s="1" t="s">
        <v>19</v>
      </c>
      <c r="C17" s="1">
        <v>2.8220000000000001</v>
      </c>
      <c r="D17" s="1" t="s">
        <v>5</v>
      </c>
    </row>
    <row r="18" spans="2:14" x14ac:dyDescent="0.35">
      <c r="B18" s="1" t="s">
        <v>20</v>
      </c>
      <c r="C18" s="1">
        <v>402.6</v>
      </c>
      <c r="D18" s="1" t="s">
        <v>11</v>
      </c>
    </row>
    <row r="19" spans="2:14" x14ac:dyDescent="0.35">
      <c r="B19" s="1" t="s">
        <v>21</v>
      </c>
      <c r="C19" s="1">
        <v>47.3</v>
      </c>
      <c r="D19" s="1" t="s">
        <v>11</v>
      </c>
    </row>
    <row r="20" spans="2:14" x14ac:dyDescent="0.35">
      <c r="B20" s="1" t="s">
        <v>22</v>
      </c>
      <c r="C20" s="1">
        <v>89.3</v>
      </c>
      <c r="D20" s="1" t="s">
        <v>11</v>
      </c>
    </row>
    <row r="21" spans="2:14" x14ac:dyDescent="0.35">
      <c r="B21" s="1" t="s">
        <v>23</v>
      </c>
      <c r="C21" s="1">
        <v>0.20799999999999999</v>
      </c>
      <c r="D21" s="1" t="s">
        <v>5</v>
      </c>
    </row>
    <row r="22" spans="2:14" x14ac:dyDescent="0.35">
      <c r="B22" s="1" t="s">
        <v>24</v>
      </c>
      <c r="C22" s="1">
        <v>0.45600000000000002</v>
      </c>
      <c r="D22" s="1" t="s">
        <v>5</v>
      </c>
    </row>
    <row r="23" spans="2:14" x14ac:dyDescent="0.35">
      <c r="B23" s="1" t="s">
        <v>25</v>
      </c>
      <c r="C23" s="1">
        <v>880.7</v>
      </c>
      <c r="D23" s="1" t="s">
        <v>11</v>
      </c>
    </row>
    <row r="24" spans="2:14" x14ac:dyDescent="0.35">
      <c r="B24" s="1" t="s">
        <v>26</v>
      </c>
      <c r="C24" s="1">
        <v>0.58699999999999997</v>
      </c>
      <c r="D24" s="1" t="s">
        <v>5</v>
      </c>
    </row>
    <row r="26" spans="2:14" x14ac:dyDescent="0.35">
      <c r="C26">
        <v>2.722</v>
      </c>
      <c r="D26">
        <f>(C26/$C$39)*100</f>
        <v>6.3111523301646173</v>
      </c>
    </row>
    <row r="27" spans="2:14" x14ac:dyDescent="0.35">
      <c r="C27">
        <v>0.65800000000000003</v>
      </c>
      <c r="D27">
        <f t="shared" ref="D27:D28" si="0">(C27/$C$39)*100</f>
        <v>1.5256202179457452</v>
      </c>
    </row>
    <row r="28" spans="2:14" x14ac:dyDescent="0.35">
      <c r="C28">
        <v>0.745</v>
      </c>
      <c r="D28">
        <f t="shared" si="0"/>
        <v>1.7273359610479939</v>
      </c>
    </row>
    <row r="29" spans="2:14" x14ac:dyDescent="0.35">
      <c r="C29">
        <v>26.227</v>
      </c>
      <c r="D29">
        <f>(C29/$C$39)*100</f>
        <v>60.80918154416878</v>
      </c>
    </row>
    <row r="30" spans="2:14" x14ac:dyDescent="0.35">
      <c r="C30">
        <v>0.15</v>
      </c>
      <c r="D30">
        <f t="shared" ref="D30:D37" si="1">(C30/$C$39)*100</f>
        <v>0.34778576396939476</v>
      </c>
      <c r="M30" t="s">
        <v>52</v>
      </c>
      <c r="N30" t="s">
        <v>53</v>
      </c>
    </row>
    <row r="31" spans="2:14" x14ac:dyDescent="0.35">
      <c r="C31">
        <v>6.4450000000000003</v>
      </c>
      <c r="D31">
        <f t="shared" si="1"/>
        <v>14.943194991884996</v>
      </c>
      <c r="M31" t="s">
        <v>54</v>
      </c>
      <c r="N31" t="s">
        <v>55</v>
      </c>
    </row>
    <row r="32" spans="2:14" x14ac:dyDescent="0.35">
      <c r="C32">
        <v>1.5760000000000001</v>
      </c>
      <c r="D32">
        <f t="shared" si="1"/>
        <v>3.6540690934384412</v>
      </c>
      <c r="M32" t="s">
        <v>56</v>
      </c>
      <c r="N32" t="s">
        <v>57</v>
      </c>
    </row>
    <row r="33" spans="3:14" x14ac:dyDescent="0.35">
      <c r="C33">
        <v>0.53400000000000003</v>
      </c>
      <c r="D33">
        <f t="shared" si="1"/>
        <v>1.2381173197310456</v>
      </c>
      <c r="M33" t="s">
        <v>58</v>
      </c>
      <c r="N33" t="s">
        <v>59</v>
      </c>
    </row>
    <row r="34" spans="3:14" x14ac:dyDescent="0.35">
      <c r="C34">
        <v>2.8220000000000001</v>
      </c>
      <c r="D34">
        <f t="shared" si="1"/>
        <v>6.5430095061442133</v>
      </c>
      <c r="M34" t="s">
        <v>60</v>
      </c>
      <c r="N34" t="s">
        <v>61</v>
      </c>
    </row>
    <row r="35" spans="3:14" x14ac:dyDescent="0.35">
      <c r="C35">
        <v>0.20799999999999999</v>
      </c>
      <c r="D35">
        <f t="shared" si="1"/>
        <v>0.48226292603756077</v>
      </c>
    </row>
    <row r="36" spans="3:14" x14ac:dyDescent="0.35">
      <c r="C36">
        <v>0.45600000000000002</v>
      </c>
      <c r="D36">
        <f t="shared" si="1"/>
        <v>1.0572687224669601</v>
      </c>
    </row>
    <row r="37" spans="3:14" x14ac:dyDescent="0.35">
      <c r="C37">
        <v>0.58699999999999997</v>
      </c>
      <c r="D37">
        <f t="shared" si="1"/>
        <v>1.3610016230002315</v>
      </c>
    </row>
    <row r="39" spans="3:14" x14ac:dyDescent="0.35">
      <c r="C39">
        <f>SUM(C26:C37)</f>
        <v>43.13000000000001</v>
      </c>
    </row>
    <row r="40" spans="3:14" x14ac:dyDescent="0.35">
      <c r="H40" t="s">
        <v>62</v>
      </c>
      <c r="I40" t="s">
        <v>63</v>
      </c>
    </row>
    <row r="41" spans="3:14" x14ac:dyDescent="0.35">
      <c r="H41" t="s">
        <v>67</v>
      </c>
      <c r="I41" t="s">
        <v>64</v>
      </c>
    </row>
    <row r="42" spans="3:14" x14ac:dyDescent="0.35">
      <c r="H42" t="s">
        <v>68</v>
      </c>
      <c r="I42" t="s">
        <v>69</v>
      </c>
    </row>
    <row r="43" spans="3:14" x14ac:dyDescent="0.35">
      <c r="H43" t="s">
        <v>70</v>
      </c>
      <c r="I43" t="s">
        <v>71</v>
      </c>
    </row>
    <row r="44" spans="3:14" x14ac:dyDescent="0.35">
      <c r="H44" t="s">
        <v>65</v>
      </c>
      <c r="I44" t="s">
        <v>66</v>
      </c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E7032-2E64-451C-99EA-D79FD51F2587}">
  <dimension ref="B2:AB48"/>
  <sheetViews>
    <sheetView tabSelected="1" zoomScale="85" zoomScaleNormal="85" workbookViewId="0">
      <selection activeCell="Q33" sqref="Q33:S42"/>
    </sheetView>
  </sheetViews>
  <sheetFormatPr defaultRowHeight="14.5" x14ac:dyDescent="0.35"/>
  <cols>
    <col min="2" max="2" width="10.81640625" customWidth="1"/>
    <col min="3" max="3" width="12.7265625" customWidth="1"/>
    <col min="15" max="15" width="10.26953125" bestFit="1" customWidth="1"/>
    <col min="16" max="16" width="7.36328125" bestFit="1" customWidth="1"/>
    <col min="17" max="17" width="8.81640625" customWidth="1"/>
    <col min="18" max="18" width="10.26953125" bestFit="1" customWidth="1"/>
    <col min="24" max="25" width="8.1796875" bestFit="1" customWidth="1"/>
  </cols>
  <sheetData>
    <row r="2" spans="2:25" x14ac:dyDescent="0.35">
      <c r="B2" s="3" t="s">
        <v>27</v>
      </c>
      <c r="C2" s="3"/>
      <c r="D2" s="3"/>
    </row>
    <row r="3" spans="2:25" ht="29" customHeight="1" x14ac:dyDescent="0.35">
      <c r="B3" s="1" t="s">
        <v>1</v>
      </c>
      <c r="C3" s="1" t="s">
        <v>2</v>
      </c>
      <c r="D3" s="1" t="s">
        <v>3</v>
      </c>
      <c r="O3" s="3" t="s">
        <v>0</v>
      </c>
      <c r="P3" s="3"/>
      <c r="Q3" s="3"/>
      <c r="R3" s="3" t="s">
        <v>27</v>
      </c>
      <c r="S3" s="3"/>
      <c r="T3" s="3"/>
      <c r="W3" s="6" t="s">
        <v>72</v>
      </c>
      <c r="X3" s="7" t="s">
        <v>74</v>
      </c>
      <c r="Y3" s="7" t="s">
        <v>73</v>
      </c>
    </row>
    <row r="4" spans="2:25" x14ac:dyDescent="0.35">
      <c r="B4" s="1" t="s">
        <v>4</v>
      </c>
      <c r="C4" s="1">
        <v>2.806</v>
      </c>
      <c r="D4" s="1" t="s">
        <v>5</v>
      </c>
      <c r="O4" s="1" t="s">
        <v>1</v>
      </c>
      <c r="P4" s="1" t="s">
        <v>2</v>
      </c>
      <c r="Q4" s="1" t="s">
        <v>3</v>
      </c>
      <c r="R4" s="1" t="s">
        <v>1</v>
      </c>
      <c r="S4" s="1" t="s">
        <v>2</v>
      </c>
      <c r="T4" s="1" t="s">
        <v>3</v>
      </c>
      <c r="W4" s="5" t="s">
        <v>4</v>
      </c>
      <c r="X4" s="5">
        <v>27220</v>
      </c>
      <c r="Y4" s="5">
        <v>28060</v>
      </c>
    </row>
    <row r="5" spans="2:25" x14ac:dyDescent="0.35">
      <c r="B5" s="1" t="s">
        <v>6</v>
      </c>
      <c r="C5" s="1">
        <v>0.68899999999999995</v>
      </c>
      <c r="D5" s="1" t="s">
        <v>5</v>
      </c>
      <c r="O5" s="1" t="s">
        <v>4</v>
      </c>
      <c r="P5" s="1">
        <v>2.722</v>
      </c>
      <c r="Q5" s="1" t="s">
        <v>5</v>
      </c>
      <c r="R5" s="1" t="s">
        <v>4</v>
      </c>
      <c r="S5" s="1">
        <v>2.806</v>
      </c>
      <c r="T5" s="1" t="s">
        <v>5</v>
      </c>
      <c r="W5" s="5" t="s">
        <v>6</v>
      </c>
      <c r="X5" s="5">
        <v>6580</v>
      </c>
      <c r="Y5" s="5">
        <v>6889.9999999999991</v>
      </c>
    </row>
    <row r="6" spans="2:25" x14ac:dyDescent="0.35">
      <c r="B6" s="1" t="s">
        <v>7</v>
      </c>
      <c r="C6" s="1">
        <v>0.76200000000000001</v>
      </c>
      <c r="D6" s="1" t="s">
        <v>5</v>
      </c>
      <c r="O6" s="1" t="s">
        <v>6</v>
      </c>
      <c r="P6" s="1">
        <v>0.65800000000000003</v>
      </c>
      <c r="Q6" s="1" t="s">
        <v>5</v>
      </c>
      <c r="R6" s="1" t="s">
        <v>6</v>
      </c>
      <c r="S6" s="1">
        <v>0.68899999999999995</v>
      </c>
      <c r="T6" s="1" t="s">
        <v>5</v>
      </c>
      <c r="W6" s="5" t="s">
        <v>7</v>
      </c>
      <c r="X6" s="5">
        <v>7450</v>
      </c>
      <c r="Y6" s="5">
        <v>7620</v>
      </c>
    </row>
    <row r="7" spans="2:25" x14ac:dyDescent="0.35">
      <c r="B7" s="1" t="s">
        <v>8</v>
      </c>
      <c r="C7" s="1">
        <v>28.683</v>
      </c>
      <c r="D7" s="1" t="s">
        <v>5</v>
      </c>
      <c r="O7" s="1" t="s">
        <v>7</v>
      </c>
      <c r="P7" s="1">
        <v>0.745</v>
      </c>
      <c r="Q7" s="1" t="s">
        <v>5</v>
      </c>
      <c r="R7" s="1" t="s">
        <v>7</v>
      </c>
      <c r="S7" s="1">
        <v>0.76200000000000001</v>
      </c>
      <c r="T7" s="1" t="s">
        <v>5</v>
      </c>
      <c r="W7" s="5" t="s">
        <v>8</v>
      </c>
      <c r="X7" s="5">
        <v>262270</v>
      </c>
      <c r="Y7" s="5">
        <v>286830</v>
      </c>
    </row>
    <row r="8" spans="2:25" x14ac:dyDescent="0.35">
      <c r="B8" s="1" t="s">
        <v>9</v>
      </c>
      <c r="C8" s="1">
        <v>0.14599999999999999</v>
      </c>
      <c r="D8" s="1" t="s">
        <v>5</v>
      </c>
      <c r="O8" s="1" t="s">
        <v>8</v>
      </c>
      <c r="P8" s="1">
        <v>26.227</v>
      </c>
      <c r="Q8" s="1" t="s">
        <v>5</v>
      </c>
      <c r="R8" s="1" t="s">
        <v>8</v>
      </c>
      <c r="S8" s="1">
        <v>28.683</v>
      </c>
      <c r="T8" s="1" t="s">
        <v>5</v>
      </c>
      <c r="W8" s="5" t="s">
        <v>9</v>
      </c>
      <c r="X8" s="5">
        <v>1500</v>
      </c>
      <c r="Y8" s="5">
        <v>1460</v>
      </c>
    </row>
    <row r="9" spans="2:25" x14ac:dyDescent="0.35">
      <c r="B9" s="1" t="s">
        <v>10</v>
      </c>
      <c r="C9" s="1">
        <v>391.8</v>
      </c>
      <c r="D9" s="1" t="s">
        <v>11</v>
      </c>
      <c r="O9" s="1" t="s">
        <v>9</v>
      </c>
      <c r="P9" s="1">
        <v>0.15</v>
      </c>
      <c r="Q9" s="1" t="s">
        <v>5</v>
      </c>
      <c r="R9" s="1" t="s">
        <v>9</v>
      </c>
      <c r="S9" s="1">
        <v>0.14599999999999999</v>
      </c>
      <c r="T9" s="1" t="s">
        <v>5</v>
      </c>
      <c r="W9" s="5" t="s">
        <v>10</v>
      </c>
      <c r="X9" s="5">
        <v>274.89999999999998</v>
      </c>
      <c r="Y9" s="5">
        <v>391.8</v>
      </c>
    </row>
    <row r="10" spans="2:25" x14ac:dyDescent="0.35">
      <c r="B10" s="1" t="s">
        <v>12</v>
      </c>
      <c r="C10" s="1">
        <v>909</v>
      </c>
      <c r="D10" s="1" t="s">
        <v>11</v>
      </c>
      <c r="O10" s="1" t="s">
        <v>10</v>
      </c>
      <c r="P10" s="1">
        <v>274.89999999999998</v>
      </c>
      <c r="Q10" s="1" t="s">
        <v>11</v>
      </c>
      <c r="R10" s="1" t="s">
        <v>10</v>
      </c>
      <c r="S10" s="1">
        <v>391.8</v>
      </c>
      <c r="T10" s="1" t="s">
        <v>11</v>
      </c>
      <c r="W10" s="5" t="s">
        <v>12</v>
      </c>
      <c r="X10" s="5">
        <v>810.8</v>
      </c>
      <c r="Y10" s="5">
        <v>909</v>
      </c>
    </row>
    <row r="11" spans="2:25" x14ac:dyDescent="0.35">
      <c r="B11" s="1" t="s">
        <v>13</v>
      </c>
      <c r="C11" s="1">
        <v>7.5250000000000004</v>
      </c>
      <c r="D11" s="1" t="s">
        <v>5</v>
      </c>
      <c r="O11" s="1" t="s">
        <v>12</v>
      </c>
      <c r="P11" s="1">
        <v>810.8</v>
      </c>
      <c r="Q11" s="1" t="s">
        <v>11</v>
      </c>
      <c r="R11" s="1" t="s">
        <v>12</v>
      </c>
      <c r="S11" s="1">
        <v>909</v>
      </c>
      <c r="T11" s="1" t="s">
        <v>11</v>
      </c>
      <c r="W11" s="5" t="s">
        <v>13</v>
      </c>
      <c r="X11" s="5">
        <v>64450</v>
      </c>
      <c r="Y11" s="5">
        <v>75250</v>
      </c>
    </row>
    <row r="12" spans="2:25" x14ac:dyDescent="0.35">
      <c r="B12" s="1" t="s">
        <v>14</v>
      </c>
      <c r="C12" s="1">
        <v>0.32400000000000001</v>
      </c>
      <c r="D12" s="1" t="s">
        <v>5</v>
      </c>
      <c r="O12" s="1" t="s">
        <v>13</v>
      </c>
      <c r="P12" s="1">
        <v>6.4450000000000003</v>
      </c>
      <c r="Q12" s="1" t="s">
        <v>5</v>
      </c>
      <c r="R12" s="1" t="s">
        <v>13</v>
      </c>
      <c r="S12" s="1">
        <v>7.5250000000000004</v>
      </c>
      <c r="T12" s="1" t="s">
        <v>5</v>
      </c>
      <c r="W12" s="5" t="s">
        <v>14</v>
      </c>
      <c r="X12" s="5">
        <v>15760</v>
      </c>
      <c r="Y12" s="5">
        <v>3240</v>
      </c>
    </row>
    <row r="13" spans="2:25" x14ac:dyDescent="0.35">
      <c r="B13" s="1" t="s">
        <v>16</v>
      </c>
      <c r="C13" s="1">
        <v>156.9</v>
      </c>
      <c r="D13" s="1" t="s">
        <v>11</v>
      </c>
      <c r="O13" s="1" t="s">
        <v>14</v>
      </c>
      <c r="P13" s="1">
        <v>1.5760000000000001</v>
      </c>
      <c r="Q13" s="1" t="s">
        <v>5</v>
      </c>
      <c r="R13" s="1" t="s">
        <v>14</v>
      </c>
      <c r="S13" s="1">
        <v>0.32400000000000001</v>
      </c>
      <c r="T13" s="1" t="s">
        <v>5</v>
      </c>
      <c r="W13" s="5" t="s">
        <v>16</v>
      </c>
      <c r="X13" s="5">
        <v>247.9</v>
      </c>
      <c r="Y13" s="5">
        <v>156.9</v>
      </c>
    </row>
    <row r="14" spans="2:25" x14ac:dyDescent="0.35">
      <c r="B14" s="1" t="s">
        <v>17</v>
      </c>
      <c r="C14" s="1">
        <v>46.9</v>
      </c>
      <c r="D14" s="1" t="s">
        <v>11</v>
      </c>
      <c r="O14" s="1" t="s">
        <v>16</v>
      </c>
      <c r="P14" s="1">
        <v>247.9</v>
      </c>
      <c r="Q14" s="1" t="s">
        <v>11</v>
      </c>
      <c r="R14" s="1" t="s">
        <v>16</v>
      </c>
      <c r="S14" s="1">
        <v>156.9</v>
      </c>
      <c r="T14" s="1" t="s">
        <v>11</v>
      </c>
      <c r="W14" s="5" t="s">
        <v>17</v>
      </c>
      <c r="X14" s="5">
        <v>49.6</v>
      </c>
      <c r="Y14" s="5">
        <v>46.9</v>
      </c>
    </row>
    <row r="15" spans="2:25" x14ac:dyDescent="0.35">
      <c r="B15" s="1" t="s">
        <v>18</v>
      </c>
      <c r="C15" s="1">
        <v>0.38200000000000001</v>
      </c>
      <c r="D15" s="1" t="s">
        <v>5</v>
      </c>
      <c r="O15" s="1" t="s">
        <v>17</v>
      </c>
      <c r="P15" s="1">
        <v>49.6</v>
      </c>
      <c r="Q15" s="1" t="s">
        <v>11</v>
      </c>
      <c r="R15" s="1" t="s">
        <v>17</v>
      </c>
      <c r="S15" s="1">
        <v>46.9</v>
      </c>
      <c r="T15" s="1" t="s">
        <v>11</v>
      </c>
      <c r="W15" s="5" t="s">
        <v>18</v>
      </c>
      <c r="X15" s="5">
        <v>5340</v>
      </c>
      <c r="Y15" s="5">
        <v>3820</v>
      </c>
    </row>
    <row r="16" spans="2:25" x14ac:dyDescent="0.35">
      <c r="B16" s="1" t="s">
        <v>19</v>
      </c>
      <c r="C16" s="1">
        <v>0.432</v>
      </c>
      <c r="D16" s="1" t="s">
        <v>5</v>
      </c>
      <c r="O16" s="1" t="s">
        <v>18</v>
      </c>
      <c r="P16" s="1">
        <v>0.53400000000000003</v>
      </c>
      <c r="Q16" s="1" t="s">
        <v>5</v>
      </c>
      <c r="R16" s="1" t="s">
        <v>18</v>
      </c>
      <c r="S16" s="1">
        <v>0.38200000000000001</v>
      </c>
      <c r="T16" s="1" t="s">
        <v>5</v>
      </c>
      <c r="W16" s="5" t="s">
        <v>19</v>
      </c>
      <c r="X16" s="5">
        <v>28220</v>
      </c>
      <c r="Y16" s="5">
        <v>4320</v>
      </c>
    </row>
    <row r="17" spans="2:28" x14ac:dyDescent="0.35">
      <c r="B17" s="1" t="s">
        <v>20</v>
      </c>
      <c r="C17" s="1">
        <v>115.7</v>
      </c>
      <c r="D17" s="1" t="s">
        <v>11</v>
      </c>
      <c r="O17" s="1" t="s">
        <v>19</v>
      </c>
      <c r="P17" s="1">
        <v>2.8220000000000001</v>
      </c>
      <c r="Q17" s="1" t="s">
        <v>5</v>
      </c>
      <c r="R17" s="1" t="s">
        <v>19</v>
      </c>
      <c r="S17" s="1">
        <v>0.432</v>
      </c>
      <c r="T17" s="1" t="s">
        <v>5</v>
      </c>
      <c r="W17" s="5" t="s">
        <v>20</v>
      </c>
      <c r="X17" s="5">
        <v>402.6</v>
      </c>
      <c r="Y17" s="5">
        <v>115.7</v>
      </c>
    </row>
    <row r="18" spans="2:28" x14ac:dyDescent="0.35">
      <c r="B18" s="1" t="s">
        <v>21</v>
      </c>
      <c r="C18" s="1">
        <v>48.9</v>
      </c>
      <c r="D18" s="1" t="s">
        <v>11</v>
      </c>
      <c r="O18" s="1" t="s">
        <v>20</v>
      </c>
      <c r="P18" s="1">
        <v>402.6</v>
      </c>
      <c r="Q18" s="1" t="s">
        <v>11</v>
      </c>
      <c r="R18" s="1" t="s">
        <v>20</v>
      </c>
      <c r="S18" s="1">
        <v>115.7</v>
      </c>
      <c r="T18" s="1" t="s">
        <v>11</v>
      </c>
      <c r="W18" s="5" t="s">
        <v>21</v>
      </c>
      <c r="X18" s="5">
        <v>47.3</v>
      </c>
      <c r="Y18" s="5">
        <v>48.9</v>
      </c>
    </row>
    <row r="19" spans="2:28" x14ac:dyDescent="0.35">
      <c r="B19" s="1" t="s">
        <v>22</v>
      </c>
      <c r="C19" s="1">
        <v>87.3</v>
      </c>
      <c r="D19" s="1" t="s">
        <v>11</v>
      </c>
      <c r="O19" s="1" t="s">
        <v>21</v>
      </c>
      <c r="P19" s="1">
        <v>47.3</v>
      </c>
      <c r="Q19" s="1" t="s">
        <v>11</v>
      </c>
      <c r="R19" s="1" t="s">
        <v>21</v>
      </c>
      <c r="S19" s="1">
        <v>48.9</v>
      </c>
      <c r="T19" s="1" t="s">
        <v>11</v>
      </c>
      <c r="W19" s="5" t="s">
        <v>22</v>
      </c>
      <c r="X19" s="5">
        <v>89.3</v>
      </c>
      <c r="Y19" s="5">
        <v>87.3</v>
      </c>
    </row>
    <row r="20" spans="2:28" x14ac:dyDescent="0.35">
      <c r="B20" s="1" t="s">
        <v>23</v>
      </c>
      <c r="C20" s="1">
        <v>0.255</v>
      </c>
      <c r="D20" s="1" t="s">
        <v>5</v>
      </c>
      <c r="O20" s="1" t="s">
        <v>22</v>
      </c>
      <c r="P20" s="1">
        <v>89.3</v>
      </c>
      <c r="Q20" s="1" t="s">
        <v>11</v>
      </c>
      <c r="R20" s="1" t="s">
        <v>22</v>
      </c>
      <c r="S20" s="1">
        <v>87.3</v>
      </c>
      <c r="T20" s="1" t="s">
        <v>11</v>
      </c>
      <c r="W20" s="5" t="s">
        <v>23</v>
      </c>
      <c r="X20" s="5">
        <v>2080</v>
      </c>
      <c r="Y20" s="5">
        <v>2550</v>
      </c>
    </row>
    <row r="21" spans="2:28" x14ac:dyDescent="0.35">
      <c r="B21" s="1" t="s">
        <v>24</v>
      </c>
      <c r="C21" s="1">
        <v>0.628</v>
      </c>
      <c r="D21" s="1" t="s">
        <v>5</v>
      </c>
      <c r="O21" s="1" t="s">
        <v>23</v>
      </c>
      <c r="P21" s="1">
        <v>0.20799999999999999</v>
      </c>
      <c r="Q21" s="1" t="s">
        <v>5</v>
      </c>
      <c r="R21" s="1" t="s">
        <v>23</v>
      </c>
      <c r="S21" s="1">
        <v>0.255</v>
      </c>
      <c r="T21" s="1" t="s">
        <v>5</v>
      </c>
      <c r="W21" s="5" t="s">
        <v>24</v>
      </c>
      <c r="X21" s="5">
        <v>4560</v>
      </c>
      <c r="Y21" s="5">
        <v>6280</v>
      </c>
    </row>
    <row r="22" spans="2:28" x14ac:dyDescent="0.35">
      <c r="B22" s="1" t="s">
        <v>25</v>
      </c>
      <c r="C22" s="1">
        <v>0.154</v>
      </c>
      <c r="D22" s="1" t="s">
        <v>5</v>
      </c>
      <c r="O22" s="1" t="s">
        <v>24</v>
      </c>
      <c r="P22" s="1">
        <v>0.45600000000000002</v>
      </c>
      <c r="Q22" s="1" t="s">
        <v>5</v>
      </c>
      <c r="R22" s="1" t="s">
        <v>24</v>
      </c>
      <c r="S22" s="1">
        <v>0.628</v>
      </c>
      <c r="T22" s="1" t="s">
        <v>5</v>
      </c>
      <c r="W22" s="5" t="s">
        <v>25</v>
      </c>
      <c r="X22" s="5">
        <v>880.7</v>
      </c>
      <c r="Y22" s="5">
        <v>1540</v>
      </c>
    </row>
    <row r="23" spans="2:28" x14ac:dyDescent="0.35">
      <c r="B23" s="1" t="s">
        <v>26</v>
      </c>
      <c r="C23" s="1">
        <v>0.52300000000000002</v>
      </c>
      <c r="D23" s="1" t="s">
        <v>5</v>
      </c>
      <c r="O23" s="1" t="s">
        <v>25</v>
      </c>
      <c r="P23" s="1">
        <v>880.7</v>
      </c>
      <c r="Q23" s="1" t="s">
        <v>11</v>
      </c>
      <c r="R23" s="1" t="s">
        <v>25</v>
      </c>
      <c r="S23" s="1">
        <v>0.154</v>
      </c>
      <c r="T23" s="1" t="s">
        <v>5</v>
      </c>
      <c r="W23" s="5" t="s">
        <v>26</v>
      </c>
      <c r="X23" s="5">
        <v>5870</v>
      </c>
      <c r="Y23" s="5">
        <v>5230</v>
      </c>
    </row>
    <row r="24" spans="2:28" x14ac:dyDescent="0.35">
      <c r="O24" s="1" t="s">
        <v>26</v>
      </c>
      <c r="P24" s="1">
        <v>0.58699999999999997</v>
      </c>
      <c r="Q24" s="1" t="s">
        <v>5</v>
      </c>
      <c r="R24" s="1" t="s">
        <v>26</v>
      </c>
      <c r="S24" s="1">
        <v>0.52300000000000002</v>
      </c>
      <c r="T24" s="1" t="s">
        <v>5</v>
      </c>
    </row>
    <row r="28" spans="2:28" x14ac:dyDescent="0.35">
      <c r="AB28">
        <v>10000</v>
      </c>
    </row>
    <row r="29" spans="2:28" ht="32" customHeight="1" x14ac:dyDescent="0.35"/>
    <row r="31" spans="2:28" x14ac:dyDescent="0.35">
      <c r="W31" s="5" t="s">
        <v>6</v>
      </c>
      <c r="X31" s="5">
        <v>6580</v>
      </c>
      <c r="Y31" s="5">
        <v>6889.9999999999991</v>
      </c>
    </row>
    <row r="33" spans="17:25" ht="25.5" customHeight="1" x14ac:dyDescent="0.35">
      <c r="Q33" s="8" t="s">
        <v>72</v>
      </c>
      <c r="R33" s="10" t="s">
        <v>75</v>
      </c>
      <c r="S33" s="10" t="s">
        <v>76</v>
      </c>
    </row>
    <row r="34" spans="17:25" x14ac:dyDescent="0.35">
      <c r="Q34" s="9" t="s">
        <v>8</v>
      </c>
      <c r="R34" s="11">
        <v>26.227</v>
      </c>
      <c r="S34" s="11">
        <v>28.683</v>
      </c>
      <c r="W34" s="5" t="s">
        <v>9</v>
      </c>
      <c r="X34" s="5">
        <v>1500</v>
      </c>
      <c r="Y34" s="5">
        <v>1460</v>
      </c>
    </row>
    <row r="35" spans="17:25" x14ac:dyDescent="0.35">
      <c r="Q35" s="9" t="s">
        <v>13</v>
      </c>
      <c r="R35" s="11">
        <v>6.4450000000000003</v>
      </c>
      <c r="S35" s="11">
        <v>7.5250000000000004</v>
      </c>
      <c r="W35" s="5" t="s">
        <v>10</v>
      </c>
      <c r="X35" s="5">
        <v>274.89999999999998</v>
      </c>
      <c r="Y35" s="5">
        <v>391.8</v>
      </c>
    </row>
    <row r="36" spans="17:25" x14ac:dyDescent="0.35">
      <c r="Q36" s="9" t="s">
        <v>4</v>
      </c>
      <c r="R36" s="11">
        <v>2.722</v>
      </c>
      <c r="S36" s="11">
        <v>2.806</v>
      </c>
      <c r="W36" s="5" t="s">
        <v>12</v>
      </c>
      <c r="X36" s="5">
        <v>810.8</v>
      </c>
      <c r="Y36" s="5">
        <v>909</v>
      </c>
    </row>
    <row r="37" spans="17:25" x14ac:dyDescent="0.35">
      <c r="Q37" s="9" t="s">
        <v>19</v>
      </c>
      <c r="R37" s="11">
        <v>2.8220000000000001</v>
      </c>
      <c r="S37" s="11">
        <v>0.432</v>
      </c>
    </row>
    <row r="38" spans="17:25" x14ac:dyDescent="0.35">
      <c r="Q38" s="9" t="s">
        <v>7</v>
      </c>
      <c r="R38" s="11">
        <v>0.745</v>
      </c>
      <c r="S38" s="11">
        <v>0.76200000000000001</v>
      </c>
      <c r="W38" s="5" t="s">
        <v>14</v>
      </c>
      <c r="X38" s="5">
        <v>15760</v>
      </c>
      <c r="Y38" s="5">
        <v>3240</v>
      </c>
    </row>
    <row r="39" spans="17:25" x14ac:dyDescent="0.35">
      <c r="Q39" s="9" t="s">
        <v>26</v>
      </c>
      <c r="R39" s="11">
        <v>0.58699999999999997</v>
      </c>
      <c r="S39" s="11">
        <v>0.52300000000000002</v>
      </c>
      <c r="W39" s="5" t="s">
        <v>16</v>
      </c>
      <c r="X39" s="5">
        <v>247.9</v>
      </c>
      <c r="Y39" s="5">
        <v>156.9</v>
      </c>
    </row>
    <row r="40" spans="17:25" x14ac:dyDescent="0.35">
      <c r="Q40" s="9" t="s">
        <v>24</v>
      </c>
      <c r="R40" s="11">
        <v>0.45600000000000002</v>
      </c>
      <c r="S40" s="11">
        <v>0.628</v>
      </c>
      <c r="W40" s="5" t="s">
        <v>17</v>
      </c>
      <c r="X40" s="5">
        <v>49.6</v>
      </c>
      <c r="Y40" s="5">
        <v>46.9</v>
      </c>
    </row>
    <row r="41" spans="17:25" x14ac:dyDescent="0.35">
      <c r="Q41" s="9" t="s">
        <v>18</v>
      </c>
      <c r="R41" s="11">
        <v>0.53400000000000003</v>
      </c>
      <c r="S41" s="11">
        <v>0.38200000000000001</v>
      </c>
    </row>
    <row r="42" spans="17:25" x14ac:dyDescent="0.35">
      <c r="Q42" s="9" t="s">
        <v>23</v>
      </c>
      <c r="R42" s="11">
        <v>0.20799999999999999</v>
      </c>
      <c r="S42" s="11">
        <v>0.255</v>
      </c>
    </row>
    <row r="43" spans="17:25" x14ac:dyDescent="0.35">
      <c r="W43" s="5" t="s">
        <v>20</v>
      </c>
      <c r="X43" s="5">
        <v>402.6</v>
      </c>
      <c r="Y43" s="5">
        <v>115.7</v>
      </c>
    </row>
    <row r="44" spans="17:25" x14ac:dyDescent="0.35">
      <c r="W44" s="5" t="s">
        <v>21</v>
      </c>
      <c r="X44" s="5">
        <v>47.3</v>
      </c>
      <c r="Y44" s="5">
        <v>48.9</v>
      </c>
    </row>
    <row r="45" spans="17:25" x14ac:dyDescent="0.35">
      <c r="W45" s="5" t="s">
        <v>22</v>
      </c>
      <c r="X45" s="5">
        <v>89.3</v>
      </c>
      <c r="Y45" s="5">
        <v>87.3</v>
      </c>
    </row>
    <row r="48" spans="17:25" x14ac:dyDescent="0.35">
      <c r="W48" s="5" t="s">
        <v>25</v>
      </c>
      <c r="X48" s="5">
        <v>880.7</v>
      </c>
      <c r="Y48" s="5">
        <v>1540</v>
      </c>
    </row>
  </sheetData>
  <mergeCells count="3">
    <mergeCell ref="B2:D2"/>
    <mergeCell ref="O3:Q3"/>
    <mergeCell ref="R3:T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BFE06-3C63-4D81-85B3-E5936E97469D}">
  <dimension ref="B2:D25"/>
  <sheetViews>
    <sheetView workbookViewId="0">
      <selection activeCell="C21" sqref="C21"/>
    </sheetView>
  </sheetViews>
  <sheetFormatPr defaultRowHeight="14.5" x14ac:dyDescent="0.35"/>
  <cols>
    <col min="2" max="2" width="10.6328125" customWidth="1"/>
    <col min="3" max="3" width="9.6328125" customWidth="1"/>
  </cols>
  <sheetData>
    <row r="2" spans="2:4" x14ac:dyDescent="0.35">
      <c r="B2" s="4" t="s">
        <v>28</v>
      </c>
      <c r="C2" s="4"/>
      <c r="D2" s="4"/>
    </row>
    <row r="3" spans="2:4" x14ac:dyDescent="0.35">
      <c r="B3" t="s">
        <v>1</v>
      </c>
      <c r="C3" t="s">
        <v>2</v>
      </c>
      <c r="D3" t="s">
        <v>3</v>
      </c>
    </row>
    <row r="4" spans="2:4" x14ac:dyDescent="0.35">
      <c r="B4" t="s">
        <v>4</v>
      </c>
      <c r="C4">
        <v>2.7349999999999999</v>
      </c>
      <c r="D4" t="s">
        <v>5</v>
      </c>
    </row>
    <row r="5" spans="2:4" x14ac:dyDescent="0.35">
      <c r="B5" t="s">
        <v>6</v>
      </c>
      <c r="C5">
        <v>0.60399999999999998</v>
      </c>
      <c r="D5" t="s">
        <v>5</v>
      </c>
    </row>
    <row r="6" spans="2:4" x14ac:dyDescent="0.35">
      <c r="B6" t="s">
        <v>7</v>
      </c>
      <c r="C6">
        <v>3.8109999999999999</v>
      </c>
      <c r="D6" t="s">
        <v>5</v>
      </c>
    </row>
    <row r="7" spans="2:4" x14ac:dyDescent="0.35">
      <c r="B7" t="s">
        <v>8</v>
      </c>
      <c r="C7">
        <v>34.341999999999999</v>
      </c>
      <c r="D7" t="s">
        <v>5</v>
      </c>
    </row>
    <row r="8" spans="2:4" x14ac:dyDescent="0.35">
      <c r="B8" t="s">
        <v>9</v>
      </c>
      <c r="C8">
        <v>0.14499999999999999</v>
      </c>
      <c r="D8" t="s">
        <v>5</v>
      </c>
    </row>
    <row r="9" spans="2:4" x14ac:dyDescent="0.35">
      <c r="B9" t="s">
        <v>10</v>
      </c>
      <c r="C9">
        <v>0.13100000000000001</v>
      </c>
      <c r="D9" t="s">
        <v>5</v>
      </c>
    </row>
    <row r="10" spans="2:4" x14ac:dyDescent="0.35">
      <c r="B10" t="s">
        <v>12</v>
      </c>
      <c r="C10">
        <v>0.11</v>
      </c>
      <c r="D10" t="s">
        <v>5</v>
      </c>
    </row>
    <row r="11" spans="2:4" x14ac:dyDescent="0.35">
      <c r="B11" t="s">
        <v>13</v>
      </c>
      <c r="C11">
        <v>6.0640000000000001</v>
      </c>
      <c r="D11" t="s">
        <v>5</v>
      </c>
    </row>
    <row r="12" spans="2:4" x14ac:dyDescent="0.35">
      <c r="B12" t="s">
        <v>14</v>
      </c>
      <c r="C12">
        <v>0.34499999999999997</v>
      </c>
      <c r="D12" t="s">
        <v>5</v>
      </c>
    </row>
    <row r="13" spans="2:4" x14ac:dyDescent="0.35">
      <c r="B13" t="s">
        <v>16</v>
      </c>
      <c r="C13">
        <v>196.2</v>
      </c>
      <c r="D13" t="s">
        <v>11</v>
      </c>
    </row>
    <row r="14" spans="2:4" x14ac:dyDescent="0.35">
      <c r="B14" t="s">
        <v>17</v>
      </c>
      <c r="C14">
        <v>78</v>
      </c>
      <c r="D14" t="s">
        <v>11</v>
      </c>
    </row>
    <row r="15" spans="2:4" x14ac:dyDescent="0.35">
      <c r="B15" t="s">
        <v>18</v>
      </c>
      <c r="C15">
        <v>0.51500000000000001</v>
      </c>
      <c r="D15" t="s">
        <v>5</v>
      </c>
    </row>
    <row r="16" spans="2:4" x14ac:dyDescent="0.35">
      <c r="B16" t="s">
        <v>29</v>
      </c>
      <c r="C16">
        <v>236.2</v>
      </c>
      <c r="D16" t="s">
        <v>11</v>
      </c>
    </row>
    <row r="17" spans="2:4" x14ac:dyDescent="0.35">
      <c r="B17" t="s">
        <v>19</v>
      </c>
      <c r="C17">
        <v>0.55600000000000005</v>
      </c>
      <c r="D17" t="s">
        <v>5</v>
      </c>
    </row>
    <row r="18" spans="2:4" x14ac:dyDescent="0.35">
      <c r="B18" t="s">
        <v>20</v>
      </c>
      <c r="C18">
        <v>402.4</v>
      </c>
      <c r="D18" t="s">
        <v>11</v>
      </c>
    </row>
    <row r="19" spans="2:4" x14ac:dyDescent="0.35">
      <c r="B19" t="s">
        <v>21</v>
      </c>
      <c r="C19">
        <v>161.5</v>
      </c>
      <c r="D19" t="s">
        <v>11</v>
      </c>
    </row>
    <row r="20" spans="2:4" x14ac:dyDescent="0.35">
      <c r="B20" t="s">
        <v>22</v>
      </c>
      <c r="C20">
        <v>101.7</v>
      </c>
      <c r="D20" t="s">
        <v>11</v>
      </c>
    </row>
    <row r="21" spans="2:4" x14ac:dyDescent="0.35">
      <c r="B21" t="s">
        <v>23</v>
      </c>
      <c r="C21">
        <v>1.629</v>
      </c>
      <c r="D21" t="s">
        <v>5</v>
      </c>
    </row>
    <row r="22" spans="2:4" x14ac:dyDescent="0.35">
      <c r="B22" t="s">
        <v>24</v>
      </c>
      <c r="C22">
        <v>0.45800000000000002</v>
      </c>
      <c r="D22" t="s">
        <v>5</v>
      </c>
    </row>
    <row r="23" spans="2:4" x14ac:dyDescent="0.35">
      <c r="B23" t="s">
        <v>25</v>
      </c>
      <c r="C23">
        <v>883.3</v>
      </c>
      <c r="D23" t="s">
        <v>11</v>
      </c>
    </row>
    <row r="24" spans="2:4" x14ac:dyDescent="0.35">
      <c r="B24" t="s">
        <v>26</v>
      </c>
      <c r="C24">
        <v>0.317</v>
      </c>
      <c r="D24" t="s">
        <v>5</v>
      </c>
    </row>
    <row r="25" spans="2:4" x14ac:dyDescent="0.35">
      <c r="B25" t="s">
        <v>30</v>
      </c>
      <c r="C25">
        <v>763.4</v>
      </c>
      <c r="D25" t="s">
        <v>11</v>
      </c>
    </row>
  </sheetData>
  <mergeCells count="1">
    <mergeCell ref="B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D8CB7-88DD-4909-A6D3-29CCD5C38DCE}">
  <dimension ref="B2:D25"/>
  <sheetViews>
    <sheetView workbookViewId="0">
      <selection activeCell="C19" sqref="C19"/>
    </sheetView>
  </sheetViews>
  <sheetFormatPr defaultRowHeight="14.5" x14ac:dyDescent="0.35"/>
  <cols>
    <col min="2" max="2" width="12.1796875" customWidth="1"/>
  </cols>
  <sheetData>
    <row r="2" spans="2:4" x14ac:dyDescent="0.35">
      <c r="B2" s="4" t="s">
        <v>35</v>
      </c>
      <c r="C2" s="4"/>
      <c r="D2" s="4"/>
    </row>
    <row r="3" spans="2:4" x14ac:dyDescent="0.35">
      <c r="B3" t="s">
        <v>1</v>
      </c>
      <c r="C3" t="s">
        <v>2</v>
      </c>
      <c r="D3" t="s">
        <v>3</v>
      </c>
    </row>
    <row r="4" spans="2:4" x14ac:dyDescent="0.35">
      <c r="B4" t="s">
        <v>4</v>
      </c>
      <c r="C4">
        <v>0.84399999999999997</v>
      </c>
      <c r="D4" t="s">
        <v>5</v>
      </c>
    </row>
    <row r="5" spans="2:4" x14ac:dyDescent="0.35">
      <c r="B5" t="s">
        <v>6</v>
      </c>
      <c r="C5">
        <v>0.157</v>
      </c>
      <c r="D5" t="s">
        <v>5</v>
      </c>
    </row>
    <row r="6" spans="2:4" x14ac:dyDescent="0.35">
      <c r="B6" t="s">
        <v>7</v>
      </c>
      <c r="C6">
        <v>3.407</v>
      </c>
      <c r="D6" t="s">
        <v>5</v>
      </c>
    </row>
    <row r="7" spans="2:4" x14ac:dyDescent="0.35">
      <c r="B7" t="s">
        <v>8</v>
      </c>
      <c r="C7">
        <v>46.097999999999999</v>
      </c>
      <c r="D7" t="s">
        <v>5</v>
      </c>
    </row>
    <row r="8" spans="2:4" x14ac:dyDescent="0.35">
      <c r="B8" t="s">
        <v>9</v>
      </c>
      <c r="C8">
        <v>0.14000000000000001</v>
      </c>
      <c r="D8" t="s">
        <v>5</v>
      </c>
    </row>
    <row r="9" spans="2:4" x14ac:dyDescent="0.35">
      <c r="B9" t="s">
        <v>12</v>
      </c>
      <c r="C9">
        <v>967.5</v>
      </c>
      <c r="D9" t="s">
        <v>11</v>
      </c>
    </row>
    <row r="10" spans="2:4" x14ac:dyDescent="0.35">
      <c r="B10" t="s">
        <v>13</v>
      </c>
      <c r="C10">
        <v>1.4019999999999999</v>
      </c>
      <c r="D10" t="s">
        <v>5</v>
      </c>
    </row>
    <row r="11" spans="2:4" x14ac:dyDescent="0.35">
      <c r="B11" t="s">
        <v>14</v>
      </c>
      <c r="C11">
        <v>783.1</v>
      </c>
      <c r="D11" t="s">
        <v>11</v>
      </c>
    </row>
    <row r="12" spans="2:4" x14ac:dyDescent="0.35">
      <c r="B12" t="s">
        <v>16</v>
      </c>
      <c r="C12">
        <v>32</v>
      </c>
      <c r="D12" t="s">
        <v>11</v>
      </c>
    </row>
    <row r="13" spans="2:4" x14ac:dyDescent="0.35">
      <c r="B13" t="s">
        <v>18</v>
      </c>
      <c r="C13">
        <v>0.114</v>
      </c>
      <c r="D13" t="s">
        <v>5</v>
      </c>
    </row>
    <row r="14" spans="2:4" x14ac:dyDescent="0.35">
      <c r="B14" t="s">
        <v>29</v>
      </c>
      <c r="C14">
        <v>108.7</v>
      </c>
      <c r="D14" t="s">
        <v>11</v>
      </c>
    </row>
    <row r="15" spans="2:4" x14ac:dyDescent="0.35">
      <c r="B15" t="s">
        <v>19</v>
      </c>
      <c r="C15">
        <v>1.772</v>
      </c>
      <c r="D15" t="s">
        <v>5</v>
      </c>
    </row>
    <row r="16" spans="2:4" x14ac:dyDescent="0.35">
      <c r="B16" t="s">
        <v>20</v>
      </c>
      <c r="C16">
        <v>0.17799999999999999</v>
      </c>
      <c r="D16" t="s">
        <v>5</v>
      </c>
    </row>
    <row r="17" spans="2:4" x14ac:dyDescent="0.35">
      <c r="B17" t="s">
        <v>36</v>
      </c>
      <c r="C17">
        <v>7.3</v>
      </c>
      <c r="D17" t="s">
        <v>11</v>
      </c>
    </row>
    <row r="18" spans="2:4" x14ac:dyDescent="0.35">
      <c r="B18" t="s">
        <v>21</v>
      </c>
      <c r="C18">
        <v>10.7</v>
      </c>
      <c r="D18" t="s">
        <v>11</v>
      </c>
    </row>
    <row r="19" spans="2:4" x14ac:dyDescent="0.35">
      <c r="B19" t="s">
        <v>23</v>
      </c>
      <c r="C19">
        <v>2.8780000000000001</v>
      </c>
      <c r="D19" t="s">
        <v>5</v>
      </c>
    </row>
    <row r="20" spans="2:4" x14ac:dyDescent="0.35">
      <c r="B20" t="s">
        <v>24</v>
      </c>
      <c r="C20">
        <v>0.84899999999999998</v>
      </c>
      <c r="D20" t="s">
        <v>5</v>
      </c>
    </row>
    <row r="21" spans="2:4" x14ac:dyDescent="0.35">
      <c r="B21" t="s">
        <v>25</v>
      </c>
      <c r="C21">
        <v>104.5</v>
      </c>
      <c r="D21" t="s">
        <v>11</v>
      </c>
    </row>
    <row r="22" spans="2:4" x14ac:dyDescent="0.35">
      <c r="B22" t="s">
        <v>37</v>
      </c>
      <c r="C22">
        <v>100.5</v>
      </c>
      <c r="D22" t="s">
        <v>11</v>
      </c>
    </row>
    <row r="23" spans="2:4" x14ac:dyDescent="0.35">
      <c r="B23" t="s">
        <v>38</v>
      </c>
      <c r="C23">
        <v>116.2</v>
      </c>
      <c r="D23" t="s">
        <v>11</v>
      </c>
    </row>
    <row r="24" spans="2:4" x14ac:dyDescent="0.35">
      <c r="B24" t="s">
        <v>26</v>
      </c>
      <c r="C24">
        <v>0.41899999999999998</v>
      </c>
      <c r="D24" t="s">
        <v>5</v>
      </c>
    </row>
    <row r="25" spans="2:4" x14ac:dyDescent="0.35">
      <c r="B25" t="s">
        <v>30</v>
      </c>
      <c r="C25">
        <v>0.3</v>
      </c>
      <c r="D25" t="s">
        <v>5</v>
      </c>
    </row>
  </sheetData>
  <mergeCells count="1">
    <mergeCell ref="B2:D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CF5B-36C0-43BE-BF7A-FD373CEC6C66}">
  <dimension ref="B2:D26"/>
  <sheetViews>
    <sheetView workbookViewId="0">
      <selection activeCell="O33" sqref="O33"/>
    </sheetView>
  </sheetViews>
  <sheetFormatPr defaultRowHeight="14.5" x14ac:dyDescent="0.35"/>
  <cols>
    <col min="2" max="2" width="12.26953125" customWidth="1"/>
    <col min="3" max="3" width="9.26953125" customWidth="1"/>
  </cols>
  <sheetData>
    <row r="2" spans="2:4" x14ac:dyDescent="0.35">
      <c r="B2" s="4" t="s">
        <v>39</v>
      </c>
      <c r="C2" s="4"/>
      <c r="D2" s="4"/>
    </row>
    <row r="3" spans="2:4" x14ac:dyDescent="0.35">
      <c r="B3" t="s">
        <v>1</v>
      </c>
      <c r="C3" t="s">
        <v>2</v>
      </c>
      <c r="D3" t="s">
        <v>3</v>
      </c>
    </row>
    <row r="4" spans="2:4" x14ac:dyDescent="0.35">
      <c r="B4" t="s">
        <v>4</v>
      </c>
      <c r="C4">
        <v>3.2949999999999999</v>
      </c>
      <c r="D4" t="s">
        <v>5</v>
      </c>
    </row>
    <row r="5" spans="2:4" x14ac:dyDescent="0.35">
      <c r="B5" t="s">
        <v>6</v>
      </c>
      <c r="C5">
        <v>0.85799999999999998</v>
      </c>
      <c r="D5" t="s">
        <v>5</v>
      </c>
    </row>
    <row r="6" spans="2:4" x14ac:dyDescent="0.35">
      <c r="B6" t="s">
        <v>7</v>
      </c>
      <c r="C6">
        <v>0.36899999999999999</v>
      </c>
      <c r="D6" t="s">
        <v>5</v>
      </c>
    </row>
    <row r="7" spans="2:4" x14ac:dyDescent="0.35">
      <c r="B7" t="s">
        <v>8</v>
      </c>
      <c r="C7">
        <v>20.613</v>
      </c>
      <c r="D7" t="s">
        <v>5</v>
      </c>
    </row>
    <row r="8" spans="2:4" x14ac:dyDescent="0.35">
      <c r="B8" t="s">
        <v>10</v>
      </c>
      <c r="C8">
        <v>521.4</v>
      </c>
      <c r="D8" t="s">
        <v>11</v>
      </c>
    </row>
    <row r="9" spans="2:4" x14ac:dyDescent="0.35">
      <c r="B9" t="s">
        <v>12</v>
      </c>
      <c r="C9">
        <v>966.2</v>
      </c>
      <c r="D9" t="s">
        <v>11</v>
      </c>
    </row>
    <row r="10" spans="2:4" x14ac:dyDescent="0.35">
      <c r="B10" t="s">
        <v>40</v>
      </c>
      <c r="C10">
        <v>241.7</v>
      </c>
      <c r="D10" t="s">
        <v>11</v>
      </c>
    </row>
    <row r="11" spans="2:4" x14ac:dyDescent="0.35">
      <c r="B11" t="s">
        <v>13</v>
      </c>
      <c r="C11">
        <v>8.1929999999999996</v>
      </c>
      <c r="D11" t="s">
        <v>5</v>
      </c>
    </row>
    <row r="12" spans="2:4" x14ac:dyDescent="0.35">
      <c r="B12" t="s">
        <v>14</v>
      </c>
      <c r="C12">
        <v>278.89999999999998</v>
      </c>
      <c r="D12" t="s">
        <v>11</v>
      </c>
    </row>
    <row r="13" spans="2:4" x14ac:dyDescent="0.35">
      <c r="B13" t="s">
        <v>15</v>
      </c>
      <c r="C13">
        <v>1.4</v>
      </c>
      <c r="D13" t="s">
        <v>11</v>
      </c>
    </row>
    <row r="14" spans="2:4" x14ac:dyDescent="0.35">
      <c r="B14" t="s">
        <v>16</v>
      </c>
      <c r="C14">
        <v>34.799999999999997</v>
      </c>
      <c r="D14" t="s">
        <v>11</v>
      </c>
    </row>
    <row r="15" spans="2:4" x14ac:dyDescent="0.35">
      <c r="B15" t="s">
        <v>17</v>
      </c>
      <c r="C15">
        <v>134.19999999999999</v>
      </c>
      <c r="D15" t="s">
        <v>11</v>
      </c>
    </row>
    <row r="16" spans="2:4" x14ac:dyDescent="0.35">
      <c r="B16" t="s">
        <v>18</v>
      </c>
      <c r="C16">
        <v>0.33400000000000002</v>
      </c>
      <c r="D16" t="s">
        <v>5</v>
      </c>
    </row>
    <row r="17" spans="2:4" x14ac:dyDescent="0.35">
      <c r="B17" t="s">
        <v>19</v>
      </c>
      <c r="C17">
        <v>145.80000000000001</v>
      </c>
      <c r="D17" t="s">
        <v>11</v>
      </c>
    </row>
    <row r="18" spans="2:4" x14ac:dyDescent="0.35">
      <c r="B18" t="s">
        <v>20</v>
      </c>
      <c r="C18">
        <v>68.5</v>
      </c>
      <c r="D18" t="s">
        <v>11</v>
      </c>
    </row>
    <row r="19" spans="2:4" x14ac:dyDescent="0.35">
      <c r="B19" t="s">
        <v>41</v>
      </c>
      <c r="C19">
        <v>27.1</v>
      </c>
      <c r="D19" t="s">
        <v>11</v>
      </c>
    </row>
    <row r="20" spans="2:4" x14ac:dyDescent="0.35">
      <c r="B20" t="s">
        <v>21</v>
      </c>
      <c r="C20">
        <v>58.4</v>
      </c>
      <c r="D20" t="s">
        <v>11</v>
      </c>
    </row>
    <row r="21" spans="2:4" x14ac:dyDescent="0.35">
      <c r="B21" t="s">
        <v>22</v>
      </c>
      <c r="C21">
        <v>118.8</v>
      </c>
      <c r="D21" t="s">
        <v>11</v>
      </c>
    </row>
    <row r="22" spans="2:4" x14ac:dyDescent="0.35">
      <c r="B22" t="s">
        <v>23</v>
      </c>
      <c r="C22">
        <v>0.14899999999999999</v>
      </c>
      <c r="D22" t="s">
        <v>5</v>
      </c>
    </row>
    <row r="23" spans="2:4" x14ac:dyDescent="0.35">
      <c r="B23" t="s">
        <v>24</v>
      </c>
      <c r="C23">
        <v>501.8</v>
      </c>
      <c r="D23" t="s">
        <v>11</v>
      </c>
    </row>
    <row r="24" spans="2:4" x14ac:dyDescent="0.35">
      <c r="B24" t="s">
        <v>25</v>
      </c>
      <c r="C24">
        <v>0.23699999999999999</v>
      </c>
      <c r="D24" t="s">
        <v>5</v>
      </c>
    </row>
    <row r="25" spans="2:4" x14ac:dyDescent="0.35">
      <c r="B25" t="s">
        <v>37</v>
      </c>
      <c r="C25">
        <v>99.3</v>
      </c>
      <c r="D25" t="s">
        <v>11</v>
      </c>
    </row>
    <row r="26" spans="2:4" x14ac:dyDescent="0.35">
      <c r="B26" t="s">
        <v>26</v>
      </c>
      <c r="C26">
        <v>227.7</v>
      </c>
      <c r="D26" t="s">
        <v>11</v>
      </c>
    </row>
  </sheetData>
  <mergeCells count="1">
    <mergeCell ref="B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B21FF-5502-487A-B24B-2C04642D2174}">
  <dimension ref="B2:D24"/>
  <sheetViews>
    <sheetView workbookViewId="0">
      <selection activeCell="B2" sqref="B2:D2"/>
    </sheetView>
  </sheetViews>
  <sheetFormatPr defaultRowHeight="14.5" x14ac:dyDescent="0.35"/>
  <cols>
    <col min="2" max="2" width="12.54296875" customWidth="1"/>
  </cols>
  <sheetData>
    <row r="2" spans="2:4" x14ac:dyDescent="0.35">
      <c r="B2" s="4" t="s">
        <v>45</v>
      </c>
      <c r="C2" s="4"/>
      <c r="D2" s="4"/>
    </row>
    <row r="3" spans="2:4" x14ac:dyDescent="0.35">
      <c r="B3" t="s">
        <v>1</v>
      </c>
      <c r="C3" t="s">
        <v>2</v>
      </c>
      <c r="D3" t="s">
        <v>3</v>
      </c>
    </row>
    <row r="4" spans="2:4" x14ac:dyDescent="0.35">
      <c r="B4" t="s">
        <v>4</v>
      </c>
      <c r="C4">
        <v>2.6190000000000002</v>
      </c>
      <c r="D4" t="s">
        <v>5</v>
      </c>
    </row>
    <row r="5" spans="2:4" x14ac:dyDescent="0.35">
      <c r="B5" t="s">
        <v>6</v>
      </c>
      <c r="C5">
        <v>0.74399999999999999</v>
      </c>
      <c r="D5" t="s">
        <v>5</v>
      </c>
    </row>
    <row r="6" spans="2:4" x14ac:dyDescent="0.35">
      <c r="B6" t="s">
        <v>7</v>
      </c>
      <c r="C6">
        <v>0.38800000000000001</v>
      </c>
      <c r="D6" t="s">
        <v>5</v>
      </c>
    </row>
    <row r="7" spans="2:4" x14ac:dyDescent="0.35">
      <c r="B7" t="s">
        <v>8</v>
      </c>
      <c r="C7">
        <v>17.077999999999999</v>
      </c>
      <c r="D7" t="s">
        <v>5</v>
      </c>
    </row>
    <row r="8" spans="2:4" x14ac:dyDescent="0.35">
      <c r="B8" t="s">
        <v>10</v>
      </c>
      <c r="C8">
        <v>354</v>
      </c>
      <c r="D8" t="s">
        <v>11</v>
      </c>
    </row>
    <row r="9" spans="2:4" x14ac:dyDescent="0.35">
      <c r="B9" t="s">
        <v>12</v>
      </c>
      <c r="C9">
        <v>936.6</v>
      </c>
      <c r="D9" t="s">
        <v>11</v>
      </c>
    </row>
    <row r="10" spans="2:4" x14ac:dyDescent="0.35">
      <c r="B10" t="s">
        <v>40</v>
      </c>
      <c r="C10">
        <v>260.2</v>
      </c>
      <c r="D10" t="s">
        <v>11</v>
      </c>
    </row>
    <row r="11" spans="2:4" x14ac:dyDescent="0.35">
      <c r="B11" t="s">
        <v>13</v>
      </c>
      <c r="C11">
        <v>8.2010000000000005</v>
      </c>
      <c r="D11" t="s">
        <v>5</v>
      </c>
    </row>
    <row r="12" spans="2:4" x14ac:dyDescent="0.35">
      <c r="B12" t="s">
        <v>14</v>
      </c>
      <c r="C12">
        <v>453.2</v>
      </c>
      <c r="D12" t="s">
        <v>11</v>
      </c>
    </row>
    <row r="13" spans="2:4" x14ac:dyDescent="0.35">
      <c r="B13" t="s">
        <v>16</v>
      </c>
      <c r="C13">
        <v>10.9</v>
      </c>
      <c r="D13" t="s">
        <v>11</v>
      </c>
    </row>
    <row r="14" spans="2:4" x14ac:dyDescent="0.35">
      <c r="B14" t="s">
        <v>17</v>
      </c>
      <c r="C14">
        <v>55.9</v>
      </c>
      <c r="D14" t="s">
        <v>11</v>
      </c>
    </row>
    <row r="15" spans="2:4" x14ac:dyDescent="0.35">
      <c r="B15" t="s">
        <v>18</v>
      </c>
      <c r="C15">
        <v>0.13400000000000001</v>
      </c>
      <c r="D15" t="s">
        <v>5</v>
      </c>
    </row>
    <row r="16" spans="2:4" x14ac:dyDescent="0.35">
      <c r="B16" t="s">
        <v>20</v>
      </c>
      <c r="C16">
        <v>72.900000000000006</v>
      </c>
      <c r="D16" t="s">
        <v>11</v>
      </c>
    </row>
    <row r="17" spans="2:4" x14ac:dyDescent="0.35">
      <c r="B17" t="s">
        <v>41</v>
      </c>
      <c r="C17">
        <v>24.5</v>
      </c>
      <c r="D17" t="s">
        <v>11</v>
      </c>
    </row>
    <row r="18" spans="2:4" x14ac:dyDescent="0.35">
      <c r="B18" t="s">
        <v>21</v>
      </c>
      <c r="C18">
        <v>65.400000000000006</v>
      </c>
      <c r="D18" t="s">
        <v>11</v>
      </c>
    </row>
    <row r="19" spans="2:4" x14ac:dyDescent="0.35">
      <c r="B19" t="s">
        <v>22</v>
      </c>
      <c r="C19">
        <v>141.5</v>
      </c>
      <c r="D19" t="s">
        <v>11</v>
      </c>
    </row>
    <row r="20" spans="2:4" x14ac:dyDescent="0.35">
      <c r="B20" t="s">
        <v>23</v>
      </c>
      <c r="C20">
        <v>0.14899999999999999</v>
      </c>
      <c r="D20" t="s">
        <v>5</v>
      </c>
    </row>
    <row r="21" spans="2:4" x14ac:dyDescent="0.35">
      <c r="B21" t="s">
        <v>24</v>
      </c>
      <c r="C21">
        <v>121.6</v>
      </c>
      <c r="D21" t="s">
        <v>11</v>
      </c>
    </row>
    <row r="22" spans="2:4" x14ac:dyDescent="0.35">
      <c r="B22" t="s">
        <v>25</v>
      </c>
      <c r="C22">
        <v>0.245</v>
      </c>
      <c r="D22" t="s">
        <v>5</v>
      </c>
    </row>
    <row r="23" spans="2:4" x14ac:dyDescent="0.35">
      <c r="B23" t="s">
        <v>37</v>
      </c>
      <c r="C23">
        <v>118.8</v>
      </c>
      <c r="D23" t="s">
        <v>11</v>
      </c>
    </row>
    <row r="24" spans="2:4" x14ac:dyDescent="0.35">
      <c r="B24" t="s">
        <v>26</v>
      </c>
      <c r="C24">
        <v>40</v>
      </c>
      <c r="D24" t="s">
        <v>11</v>
      </c>
    </row>
  </sheetData>
  <mergeCells count="1">
    <mergeCell ref="B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55A51-28BB-48DC-BAC1-6A8D2FC7A1C1}">
  <dimension ref="B2:D13"/>
  <sheetViews>
    <sheetView workbookViewId="0">
      <selection activeCell="L27" sqref="L27"/>
    </sheetView>
  </sheetViews>
  <sheetFormatPr defaultRowHeight="14.5" x14ac:dyDescent="0.35"/>
  <cols>
    <col min="2" max="2" width="10.81640625" customWidth="1"/>
  </cols>
  <sheetData>
    <row r="2" spans="2:4" x14ac:dyDescent="0.35">
      <c r="B2" s="4" t="s">
        <v>46</v>
      </c>
      <c r="C2" s="4"/>
      <c r="D2" s="4"/>
    </row>
    <row r="3" spans="2:4" x14ac:dyDescent="0.35">
      <c r="B3" t="s">
        <v>1</v>
      </c>
      <c r="C3" t="s">
        <v>2</v>
      </c>
      <c r="D3" t="s">
        <v>3</v>
      </c>
    </row>
    <row r="4" spans="2:4" x14ac:dyDescent="0.35">
      <c r="B4" t="s">
        <v>6</v>
      </c>
      <c r="C4">
        <v>0.185</v>
      </c>
      <c r="D4" t="s">
        <v>5</v>
      </c>
    </row>
    <row r="5" spans="2:4" x14ac:dyDescent="0.35">
      <c r="B5" t="s">
        <v>7</v>
      </c>
      <c r="C5">
        <v>0.26800000000000002</v>
      </c>
      <c r="D5" t="s">
        <v>5</v>
      </c>
    </row>
    <row r="6" spans="2:4" x14ac:dyDescent="0.35">
      <c r="B6" t="s">
        <v>8</v>
      </c>
      <c r="C6">
        <v>0.33700000000000002</v>
      </c>
      <c r="D6" t="s">
        <v>5</v>
      </c>
    </row>
    <row r="7" spans="2:4" x14ac:dyDescent="0.35">
      <c r="B7" t="s">
        <v>9</v>
      </c>
      <c r="C7">
        <v>0.14599999999999999</v>
      </c>
      <c r="D7" t="s">
        <v>5</v>
      </c>
    </row>
    <row r="8" spans="2:4" x14ac:dyDescent="0.35">
      <c r="B8" t="s">
        <v>12</v>
      </c>
      <c r="C8">
        <v>839.1</v>
      </c>
      <c r="D8" t="s">
        <v>11</v>
      </c>
    </row>
    <row r="9" spans="2:4" x14ac:dyDescent="0.35">
      <c r="B9" t="s">
        <v>13</v>
      </c>
      <c r="C9">
        <v>761.2</v>
      </c>
      <c r="D9" t="s">
        <v>11</v>
      </c>
    </row>
    <row r="10" spans="2:4" x14ac:dyDescent="0.35">
      <c r="B10" t="s">
        <v>19</v>
      </c>
      <c r="C10">
        <v>45.231000000000002</v>
      </c>
      <c r="D10" t="s">
        <v>5</v>
      </c>
    </row>
    <row r="11" spans="2:4" x14ac:dyDescent="0.35">
      <c r="B11" t="s">
        <v>23</v>
      </c>
      <c r="C11">
        <v>0.107</v>
      </c>
      <c r="D11" t="s">
        <v>5</v>
      </c>
    </row>
    <row r="12" spans="2:4" x14ac:dyDescent="0.35">
      <c r="B12" t="s">
        <v>24</v>
      </c>
      <c r="C12">
        <v>0.41</v>
      </c>
      <c r="D12" t="s">
        <v>5</v>
      </c>
    </row>
    <row r="13" spans="2:4" x14ac:dyDescent="0.35">
      <c r="B13" t="s">
        <v>47</v>
      </c>
      <c r="C13">
        <v>396.8</v>
      </c>
      <c r="D13" t="s">
        <v>11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XRF Overview</vt:lpstr>
      <vt:lpstr>UBH Pre Sep Powder</vt:lpstr>
      <vt:lpstr>UBH Post Sep Powder</vt:lpstr>
      <vt:lpstr>Fraunhofer Sample A</vt:lpstr>
      <vt:lpstr>Fraunhofer Sample B</vt:lpstr>
      <vt:lpstr>UBH Glass Powder</vt:lpstr>
      <vt:lpstr>UBH Ground Glass</vt:lpstr>
      <vt:lpstr>UBH Semi-Ground Cu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Bridge, Ollie</dc:creator>
  <cp:lastModifiedBy>Bridge, Ollie</cp:lastModifiedBy>
  <dcterms:created xsi:type="dcterms:W3CDTF">2026-02-24T21:28:17Z</dcterms:created>
  <dcterms:modified xsi:type="dcterms:W3CDTF">2026-08-27T01:28:14Z</dcterms:modified>
</cp:coreProperties>
</file>