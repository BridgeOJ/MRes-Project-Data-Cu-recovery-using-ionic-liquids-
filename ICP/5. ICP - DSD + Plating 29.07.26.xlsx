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746" documentId="8_{54E91479-8FDB-4EAC-9BC3-A98E8802987F}" xr6:coauthVersionLast="47" xr6:coauthVersionMax="47" xr10:uidLastSave="{A922C365-8CCB-48FB-BE9C-74043C6A8CFB}"/>
  <bookViews>
    <workbookView minimized="1" xWindow="700" yWindow="2290" windowWidth="19200" windowHeight="10510" firstSheet="1" activeTab="3" xr2:uid="{00000000-000D-0000-FFFF-FFFF00000000}"/>
  </bookViews>
  <sheets>
    <sheet name="Raw Data" sheetId="1" r:id="rId1"/>
    <sheet name="Analysis" sheetId="3" r:id="rId2"/>
    <sheet name="DSD Elements" sheetId="5" r:id="rId3"/>
    <sheet name="Plating Elements" sheetId="6" r:id="rId4"/>
    <sheet name="Sheet8" sheetId="9" r:id="rId5"/>
    <sheet name="ValueList_Helper" sheetId="2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5" l="1"/>
  <c r="V20" i="5"/>
  <c r="V21" i="5"/>
  <c r="V22" i="5"/>
  <c r="V23" i="5"/>
  <c r="V24" i="5"/>
  <c r="V25" i="5"/>
  <c r="V26" i="5"/>
  <c r="V27" i="5"/>
  <c r="V28" i="5"/>
  <c r="V29" i="5"/>
  <c r="V30" i="5"/>
  <c r="V19" i="5"/>
  <c r="S20" i="5"/>
  <c r="S21" i="5"/>
  <c r="S22" i="5"/>
  <c r="S23" i="5"/>
  <c r="S24" i="5"/>
  <c r="S25" i="5"/>
  <c r="S26" i="5"/>
  <c r="S27" i="5"/>
  <c r="S28" i="5"/>
  <c r="S29" i="5"/>
  <c r="S30" i="5"/>
  <c r="S19" i="5"/>
  <c r="J20" i="5"/>
  <c r="J21" i="5"/>
  <c r="J22" i="5"/>
  <c r="J23" i="5"/>
  <c r="J24" i="5"/>
  <c r="J25" i="5"/>
  <c r="J26" i="5"/>
  <c r="J27" i="5"/>
  <c r="J28" i="5"/>
  <c r="J29" i="5"/>
  <c r="J30" i="5"/>
  <c r="J19" i="5"/>
  <c r="M20" i="5"/>
  <c r="M21" i="5"/>
  <c r="M22" i="5"/>
  <c r="M23" i="5"/>
  <c r="M24" i="5"/>
  <c r="M25" i="5"/>
  <c r="M26" i="5"/>
  <c r="M27" i="5"/>
  <c r="M28" i="5"/>
  <c r="M29" i="5"/>
  <c r="M30" i="5"/>
  <c r="M19" i="5"/>
  <c r="P20" i="5"/>
  <c r="P21" i="5"/>
  <c r="P22" i="5"/>
  <c r="P23" i="5"/>
  <c r="P24" i="5"/>
  <c r="P25" i="5"/>
  <c r="P26" i="5"/>
  <c r="P27" i="5"/>
  <c r="P28" i="5"/>
  <c r="P29" i="5"/>
  <c r="P30" i="5"/>
  <c r="P19" i="5"/>
  <c r="Q14" i="3"/>
  <c r="Q4" i="3"/>
  <c r="Q5" i="3"/>
  <c r="Q6" i="3"/>
  <c r="Q7" i="3"/>
  <c r="Q8" i="3"/>
  <c r="Q9" i="3"/>
  <c r="Q10" i="3"/>
  <c r="Q11" i="3"/>
  <c r="Q12" i="3"/>
  <c r="Q13" i="3"/>
  <c r="Q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3" i="3"/>
  <c r="AB4" i="3"/>
  <c r="AD4" i="3" s="1"/>
  <c r="AB5" i="3"/>
  <c r="AD5" i="3" s="1"/>
  <c r="AB6" i="3"/>
  <c r="AD6" i="3" s="1"/>
  <c r="AB7" i="3"/>
  <c r="AD7" i="3" s="1"/>
  <c r="AB8" i="3"/>
  <c r="AD8" i="3" s="1"/>
  <c r="AB9" i="3"/>
  <c r="AD9" i="3" s="1"/>
  <c r="AB10" i="3"/>
  <c r="AD10" i="3" s="1"/>
  <c r="AB11" i="3"/>
  <c r="AD11" i="3" s="1"/>
  <c r="AB12" i="3"/>
  <c r="AD12" i="3" s="1"/>
  <c r="AB13" i="3"/>
  <c r="AD13" i="3" s="1"/>
  <c r="AB14" i="3"/>
  <c r="AD14" i="3" s="1"/>
  <c r="AB15" i="3"/>
  <c r="AB16" i="3"/>
  <c r="AB17" i="3"/>
  <c r="AB18" i="3"/>
  <c r="AB19" i="3"/>
  <c r="AB3" i="3"/>
  <c r="AD3" i="3" s="1"/>
  <c r="K12" i="6"/>
  <c r="K13" i="6"/>
  <c r="K11" i="6"/>
  <c r="M12" i="6"/>
  <c r="M13" i="6"/>
  <c r="M11" i="6"/>
  <c r="Q4" i="5" l="1"/>
  <c r="Q5" i="5"/>
  <c r="Q6" i="5"/>
  <c r="Q7" i="5"/>
  <c r="Q8" i="5"/>
  <c r="Q9" i="5"/>
  <c r="Q10" i="5"/>
  <c r="Q11" i="5"/>
  <c r="Q12" i="5"/>
  <c r="Q13" i="5"/>
  <c r="Q14" i="5"/>
  <c r="Q3" i="5"/>
  <c r="U4" i="5"/>
  <c r="U5" i="5"/>
  <c r="U6" i="5"/>
  <c r="U7" i="5"/>
  <c r="U8" i="5"/>
  <c r="U9" i="5"/>
  <c r="U10" i="5"/>
  <c r="U11" i="5"/>
  <c r="U12" i="5"/>
  <c r="U13" i="5"/>
  <c r="U14" i="5"/>
  <c r="U3" i="5"/>
  <c r="Z4" i="5"/>
  <c r="Z5" i="5"/>
  <c r="Z6" i="5"/>
  <c r="Z7" i="5"/>
  <c r="Z8" i="5"/>
  <c r="Z9" i="5"/>
  <c r="Z10" i="5"/>
  <c r="Z11" i="5"/>
  <c r="Z12" i="5"/>
  <c r="Z13" i="5"/>
  <c r="Z14" i="5"/>
  <c r="Z3" i="5"/>
  <c r="AD14" i="5"/>
  <c r="AD4" i="5"/>
  <c r="AD5" i="5"/>
  <c r="AD6" i="5"/>
  <c r="AD7" i="5"/>
  <c r="AD8" i="5"/>
  <c r="AD9" i="5"/>
  <c r="AD10" i="5"/>
  <c r="AD11" i="5"/>
  <c r="AD12" i="5"/>
  <c r="AD13" i="5"/>
  <c r="AD3" i="5"/>
  <c r="AB4" i="5"/>
  <c r="AB5" i="5"/>
  <c r="AB6" i="5"/>
  <c r="AB7" i="5"/>
  <c r="AB8" i="5"/>
  <c r="AB9" i="5"/>
  <c r="AB10" i="5"/>
  <c r="AB11" i="5"/>
  <c r="AB12" i="5"/>
  <c r="AB13" i="5"/>
  <c r="AB14" i="5"/>
  <c r="AB3" i="5"/>
  <c r="X3" i="5"/>
  <c r="X4" i="5"/>
  <c r="X5" i="5"/>
  <c r="X6" i="5"/>
  <c r="X7" i="5"/>
  <c r="X8" i="5"/>
  <c r="X9" i="5"/>
  <c r="X10" i="5"/>
  <c r="X11" i="5"/>
  <c r="X12" i="5"/>
  <c r="X13" i="5"/>
  <c r="X14" i="5"/>
  <c r="T16" i="3"/>
  <c r="T19" i="3"/>
  <c r="M23" i="3" s="1"/>
  <c r="T18" i="3"/>
  <c r="M22" i="3" s="1"/>
  <c r="M24" i="3" s="1"/>
  <c r="T17" i="3"/>
  <c r="T15" i="3"/>
  <c r="M26" i="3" s="1"/>
  <c r="T8" i="3"/>
  <c r="V8" i="3" s="1"/>
  <c r="T9" i="3"/>
  <c r="V9" i="3" s="1"/>
  <c r="T10" i="3"/>
  <c r="V10" i="3" s="1"/>
  <c r="T11" i="3"/>
  <c r="V11" i="3" s="1"/>
  <c r="T12" i="3"/>
  <c r="V12" i="3" s="1"/>
  <c r="T13" i="3"/>
  <c r="V13" i="3" s="1"/>
  <c r="T14" i="3"/>
  <c r="V14" i="3" s="1"/>
  <c r="T3" i="3"/>
  <c r="V3" i="3" s="1"/>
  <c r="T4" i="3"/>
  <c r="V4" i="3" s="1"/>
  <c r="T5" i="3"/>
  <c r="V5" i="3" s="1"/>
  <c r="T6" i="3"/>
  <c r="V6" i="3" s="1"/>
  <c r="T7" i="3"/>
  <c r="V7" i="3" s="1"/>
</calcChain>
</file>

<file path=xl/sharedStrings.xml><?xml version="1.0" encoding="utf-8"?>
<sst xmlns="http://schemas.openxmlformats.org/spreadsheetml/2006/main" count="662" uniqueCount="192">
  <si>
    <t>Rinse 3.d</t>
  </si>
  <si>
    <t xml:space="preserve">71  Ga  [ He ] </t>
  </si>
  <si>
    <t>Rinse 5</t>
  </si>
  <si>
    <t>QC2</t>
  </si>
  <si>
    <t>SQStd</t>
  </si>
  <si>
    <t>R3.d</t>
  </si>
  <si>
    <t xml:space="preserve">193  Ir ( ISTD )  [ H2 ] </t>
  </si>
  <si>
    <t>Rinse 2.d</t>
  </si>
  <si>
    <t>5.d</t>
  </si>
  <si>
    <t xml:space="preserve">24  Mg  [ He ] </t>
  </si>
  <si>
    <t>R9.d</t>
  </si>
  <si>
    <t>Rinse 6.d</t>
  </si>
  <si>
    <t xml:space="preserve">43  Ca  [ He ] </t>
  </si>
  <si>
    <t xml:space="preserve">89  Y ( ISTD )  [ He ] </t>
  </si>
  <si>
    <t>Spike</t>
  </si>
  <si>
    <t xml:space="preserve">55  Mn  [ He ] </t>
  </si>
  <si>
    <t xml:space="preserve">44  Ca  [ He ] </t>
  </si>
  <si>
    <t xml:space="preserve">107  Ag  [ He ] </t>
  </si>
  <si>
    <t>S2A.d</t>
  </si>
  <si>
    <t>Rinse 4.d</t>
  </si>
  <si>
    <t>Rinse 2</t>
  </si>
  <si>
    <t>2</t>
  </si>
  <si>
    <t>R5.d</t>
  </si>
  <si>
    <t>200.d</t>
  </si>
  <si>
    <t>Sample</t>
  </si>
  <si>
    <t>Level</t>
  </si>
  <si>
    <t>S3A.d</t>
  </si>
  <si>
    <t>Rinse 1</t>
  </si>
  <si>
    <t>SQBlk</t>
  </si>
  <si>
    <t>&lt;0.000</t>
  </si>
  <si>
    <t xml:space="preserve">137  Ba  [ He ] </t>
  </si>
  <si>
    <t>S0</t>
  </si>
  <si>
    <t>R4</t>
  </si>
  <si>
    <t>S0.d</t>
  </si>
  <si>
    <t>R11</t>
  </si>
  <si>
    <t>N/A</t>
  </si>
  <si>
    <t>R3</t>
  </si>
  <si>
    <t>DriftChk</t>
  </si>
  <si>
    <t>R10.d</t>
  </si>
  <si>
    <t>FQBlk</t>
  </si>
  <si>
    <t>IsoStd</t>
  </si>
  <si>
    <t>100</t>
  </si>
  <si>
    <t>Bkgnd</t>
  </si>
  <si>
    <t>CalBlk</t>
  </si>
  <si>
    <t>R7</t>
  </si>
  <si>
    <t>SQISTD</t>
  </si>
  <si>
    <t>R6</t>
  </si>
  <si>
    <t xml:space="preserve">45  Sc ( ISTD )  [ He ] </t>
  </si>
  <si>
    <t>R2</t>
  </si>
  <si>
    <t>Conc. [ ug/l ]</t>
  </si>
  <si>
    <t>Data File</t>
  </si>
  <si>
    <t xml:space="preserve">60  Ni  [ He ] </t>
  </si>
  <si>
    <t xml:space="preserve">39  K  [ He ] </t>
  </si>
  <si>
    <t>BlkVrfy</t>
  </si>
  <si>
    <t>QC4</t>
  </si>
  <si>
    <t>500.d</t>
  </si>
  <si>
    <t>3</t>
  </si>
  <si>
    <t>QC3</t>
  </si>
  <si>
    <t>DilStd</t>
  </si>
  <si>
    <t>R5</t>
  </si>
  <si>
    <t>Type</t>
  </si>
  <si>
    <t>500</t>
  </si>
  <si>
    <t>Acq. Date-Time</t>
  </si>
  <si>
    <t>R12</t>
  </si>
  <si>
    <t xml:space="preserve">59  Co  [ He ] </t>
  </si>
  <si>
    <t>CalStd</t>
  </si>
  <si>
    <t xml:space="preserve">27  Al  [ He ] </t>
  </si>
  <si>
    <t>R10</t>
  </si>
  <si>
    <t xml:space="preserve">66  Zn  [ He ] </t>
  </si>
  <si>
    <t xml:space="preserve">63  Cu  [ He ] </t>
  </si>
  <si>
    <t xml:space="preserve">89  Y ( ISTD )  [ H2 ] </t>
  </si>
  <si>
    <t>R4.d</t>
  </si>
  <si>
    <t xml:space="preserve">45  Sc ( ISTD )  [ H2 ] </t>
  </si>
  <si>
    <t>R1</t>
  </si>
  <si>
    <t>R9</t>
  </si>
  <si>
    <t>R2.d</t>
  </si>
  <si>
    <t>R8.d</t>
  </si>
  <si>
    <t>R7.d</t>
  </si>
  <si>
    <t xml:space="preserve">56  Fe  [ H2 ] </t>
  </si>
  <si>
    <t>50.d</t>
  </si>
  <si>
    <t>1</t>
  </si>
  <si>
    <t>QC1</t>
  </si>
  <si>
    <t>100.d</t>
  </si>
  <si>
    <t xml:space="preserve">111  Cd  [ He ] </t>
  </si>
  <si>
    <t>Rinse 6</t>
  </si>
  <si>
    <t>Rinse 3</t>
  </si>
  <si>
    <t>0ppb.d</t>
  </si>
  <si>
    <t xml:space="preserve">52  Cr  [ He ] </t>
  </si>
  <si>
    <t>Rinse 4</t>
  </si>
  <si>
    <t>200</t>
  </si>
  <si>
    <t>S1A</t>
  </si>
  <si>
    <t>R11.d</t>
  </si>
  <si>
    <t>CPS RSD</t>
  </si>
  <si>
    <t>CPS</t>
  </si>
  <si>
    <t>QC5</t>
  </si>
  <si>
    <t>R12.d</t>
  </si>
  <si>
    <t>Rinse 5.d</t>
  </si>
  <si>
    <t>50</t>
  </si>
  <si>
    <t>Spike Ref</t>
  </si>
  <si>
    <t>Sample Name</t>
  </si>
  <si>
    <t>R6.d</t>
  </si>
  <si>
    <t>S3A</t>
  </si>
  <si>
    <t>Rinse 1.d</t>
  </si>
  <si>
    <t>S1A.d</t>
  </si>
  <si>
    <t>CICSpike</t>
  </si>
  <si>
    <t/>
  </si>
  <si>
    <t xml:space="preserve">193  Ir ( ISTD )  [ He ] </t>
  </si>
  <si>
    <t xml:space="preserve">23  Na  [ He ] </t>
  </si>
  <si>
    <t>0ppb</t>
  </si>
  <si>
    <t>R8</t>
  </si>
  <si>
    <t>4</t>
  </si>
  <si>
    <t>6</t>
  </si>
  <si>
    <t>R1.d</t>
  </si>
  <si>
    <t>S2A</t>
  </si>
  <si>
    <t>5</t>
  </si>
  <si>
    <t xml:space="preserve">208  Pb  [ He ] </t>
  </si>
  <si>
    <t>Rjct</t>
  </si>
  <si>
    <t>S1b</t>
  </si>
  <si>
    <t>S1a</t>
  </si>
  <si>
    <t>S2</t>
  </si>
  <si>
    <t>Temp</t>
  </si>
  <si>
    <t>H2O2 % v/v</t>
  </si>
  <si>
    <t>L/S</t>
  </si>
  <si>
    <t>Time</t>
  </si>
  <si>
    <t>Variables</t>
  </si>
  <si>
    <t>30:1</t>
  </si>
  <si>
    <t>10:1</t>
  </si>
  <si>
    <t>20:1</t>
  </si>
  <si>
    <t>Dilution factor</t>
  </si>
  <si>
    <t>Parent</t>
  </si>
  <si>
    <t>Blank</t>
  </si>
  <si>
    <t>30 min</t>
  </si>
  <si>
    <t>60 min</t>
  </si>
  <si>
    <t>CP1</t>
  </si>
  <si>
    <t>CP2</t>
  </si>
  <si>
    <t>CP3</t>
  </si>
  <si>
    <t>Cu</t>
  </si>
  <si>
    <t>Mass ug</t>
  </si>
  <si>
    <t>Vol (L)</t>
  </si>
  <si>
    <t>Cu mg/kg shred</t>
  </si>
  <si>
    <t>Cu yield</t>
  </si>
  <si>
    <t>Electroplating</t>
  </si>
  <si>
    <t>Δ mass</t>
  </si>
  <si>
    <t>Blank 60 min</t>
  </si>
  <si>
    <t>Parent 20 ml</t>
  </si>
  <si>
    <t>Parent 6 ml</t>
  </si>
  <si>
    <t>electrodeposited mass = ΔS1 − ΔS2</t>
  </si>
  <si>
    <t>S1</t>
  </si>
  <si>
    <t>ug</t>
  </si>
  <si>
    <t>mg</t>
  </si>
  <si>
    <t>% Cu recovered</t>
  </si>
  <si>
    <t>Time (min)</t>
  </si>
  <si>
    <t>Cu recovered</t>
  </si>
  <si>
    <t>Blank corrected</t>
  </si>
  <si>
    <t>Cu recovered (Blank Corrected)</t>
  </si>
  <si>
    <t>Run</t>
  </si>
  <si>
    <t>Temp (°C)</t>
  </si>
  <si>
    <t>H₂O₂% v/v</t>
  </si>
  <si>
    <t>Vol (mL)</t>
  </si>
  <si>
    <t>Cu ug/L</t>
  </si>
  <si>
    <t>Cu ug/L (for DF)</t>
  </si>
  <si>
    <t>% Cu recovered (BC)</t>
  </si>
  <si>
    <t>Copper Recovered</t>
  </si>
  <si>
    <t>Blank Corrected</t>
  </si>
  <si>
    <t>Raw Cu value</t>
  </si>
  <si>
    <t>MD ICP Element masses</t>
  </si>
  <si>
    <t>Elements</t>
  </si>
  <si>
    <t>mass (mg/kg)</t>
  </si>
  <si>
    <t>Na</t>
  </si>
  <si>
    <t>Mg</t>
  </si>
  <si>
    <t>Al</t>
  </si>
  <si>
    <t>K</t>
  </si>
  <si>
    <t>Ca</t>
  </si>
  <si>
    <t>Cr</t>
  </si>
  <si>
    <t>Mn</t>
  </si>
  <si>
    <t>Fe</t>
  </si>
  <si>
    <t>Co</t>
  </si>
  <si>
    <t>Ni</t>
  </si>
  <si>
    <t>Zn</t>
  </si>
  <si>
    <t>Ga</t>
  </si>
  <si>
    <t>Ag</t>
  </si>
  <si>
    <t>Cd</t>
  </si>
  <si>
    <t>Ba</t>
  </si>
  <si>
    <t>Pb</t>
  </si>
  <si>
    <t>Pb yield</t>
  </si>
  <si>
    <t>Fe yield</t>
  </si>
  <si>
    <t>Fe yeild %</t>
  </si>
  <si>
    <t>Ni yeild %</t>
  </si>
  <si>
    <t>Cu yeild  %</t>
  </si>
  <si>
    <t>Ag yeild %</t>
  </si>
  <si>
    <t>Pb yeild %</t>
  </si>
  <si>
    <t>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</si>
</sst>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b/>
      <sz val="11"/>
      <color theme="1"/>
      <name val="Calibri"/>
      <family val="2"/>
      <scheme val="minor"/>
    </font>
    <font>
      <sz val="9"/>
      <color theme="1"/>
      <name val="Microsoft Sans Serif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22" fontId="2" fillId="0" borderId="1" xfId="0" applyNumberFormat="1" applyFont="1" applyBorder="1" applyAlignment="1">
      <alignment horizontal="left" vertical="top"/>
    </xf>
    <xf numFmtId="0" fontId="1" fillId="2" borderId="4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164" fontId="0" fillId="0" borderId="0" xfId="0" applyNumberFormat="1"/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/>
    <xf numFmtId="164" fontId="4" fillId="0" borderId="1" xfId="0" applyNumberFormat="1" applyFont="1" applyBorder="1"/>
    <xf numFmtId="0" fontId="4" fillId="0" borderId="0" xfId="0" applyFont="1"/>
    <xf numFmtId="0" fontId="1" fillId="2" borderId="1" xfId="0" applyFont="1" applyFill="1" applyBorder="1" applyAlignment="1">
      <alignment vertical="center"/>
    </xf>
    <xf numFmtId="4" fontId="0" fillId="0" borderId="0" xfId="0" applyNumberFormat="1"/>
    <xf numFmtId="0" fontId="3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DSD Leach Runs Copper Yield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Analysis!$A$3:$A$14</c:f>
              <c:strCache>
                <c:ptCount val="12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CP1</c:v>
                </c:pt>
                <c:pt idx="10">
                  <c:v>CP2</c:v>
                </c:pt>
                <c:pt idx="11">
                  <c:v>CP3</c:v>
                </c:pt>
              </c:strCache>
            </c:strRef>
          </c:cat>
          <c:val>
            <c:numRef>
              <c:f>Analysis!$V$3:$V$14</c:f>
              <c:numCache>
                <c:formatCode>General</c:formatCode>
                <c:ptCount val="12"/>
                <c:pt idx="0">
                  <c:v>81.395234925221189</c:v>
                </c:pt>
                <c:pt idx="1">
                  <c:v>72.864094232694171</c:v>
                </c:pt>
                <c:pt idx="2">
                  <c:v>77.728937030143129</c:v>
                </c:pt>
                <c:pt idx="3">
                  <c:v>80.045054190022881</c:v>
                </c:pt>
                <c:pt idx="4">
                  <c:v>66.954954999120616</c:v>
                </c:pt>
                <c:pt idx="5">
                  <c:v>74.450668101467599</c:v>
                </c:pt>
                <c:pt idx="6">
                  <c:v>65.414201240213302</c:v>
                </c:pt>
                <c:pt idx="7">
                  <c:v>90.236606166807604</c:v>
                </c:pt>
                <c:pt idx="8">
                  <c:v>69.177188275886891</c:v>
                </c:pt>
                <c:pt idx="9">
                  <c:v>75.480797173407254</c:v>
                </c:pt>
                <c:pt idx="10">
                  <c:v>72.192704417517191</c:v>
                </c:pt>
                <c:pt idx="11">
                  <c:v>70.97501105547272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908-B682-6DC37C997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9375"/>
        <c:axId val="5796975"/>
      </c:barChart>
      <c:catAx>
        <c:axId val="579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975"/>
        <c:crosses val="autoZero"/>
        <c:auto val="1"/>
        <c:lblAlgn val="ctr"/>
        <c:lblOffset val="100"/>
        <c:noMultiLvlLbl val="0"/>
      </c:catAx>
      <c:valAx>
        <c:axId val="57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 yeild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'Plating Elements'!$J$8</c:f>
              <c:strCache>
                <c:ptCount val="1"/>
                <c:pt idx="0">
                  <c:v>Copper Recovered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'Plating Elements'!$I$10:$I$13</c:f>
              <c:strCache>
                <c:ptCount val="4"/>
                <c:pt idx="0">
                  <c:v>Time (min)</c:v>
                </c:pt>
                <c:pt idx="1">
                  <c:v>0</c:v>
                </c:pt>
                <c:pt idx="2">
                  <c:v>30</c:v>
                </c:pt>
                <c:pt idx="3">
                  <c:v>60</c:v>
                </c:pt>
              </c:strCache>
            </c:strRef>
          </c:cat>
          <c:val>
            <c:numRef>
              <c:f>'Plating Elements'!$J$10:$J$13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882.49</c:v>
                </c:pt>
                <c:pt idx="3" formatCode="#,##0.00">
                  <c:v>1120.5999999999999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3-4B00-A35F-DD8A43170417}"/>
            </c:ext>
          </c:extLst>
        </c:ser>
        <c:ser>
          <c:idx val="1"/>
          <c:order val="1"/>
          <c:tx>
            <c:strRef>
              <c:f>'Plating Elements'!$L$8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'Plating Elements'!$I$10:$I$13</c:f>
              <c:strCache>
                <c:ptCount val="4"/>
                <c:pt idx="0">
                  <c:v>Time (min)</c:v>
                </c:pt>
                <c:pt idx="1">
                  <c:v>0</c:v>
                </c:pt>
                <c:pt idx="2">
                  <c:v>30</c:v>
                </c:pt>
                <c:pt idx="3">
                  <c:v>60</c:v>
                </c:pt>
              </c:strCache>
            </c:strRef>
          </c:cat>
          <c:val>
            <c:numRef>
              <c:f>'Plating Elements'!$L$10:$L$13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 formatCode="#,##0.00">
                  <c:v>1084.8599999999999</c:v>
                </c:pt>
                <c:pt idx="3" formatCode="#,##0.00">
                  <c:v>1525.33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3-4B00-A35F-DD8A43170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179167"/>
        <c:axId val="997167167"/>
      </c:lineChart>
      <c:catAx>
        <c:axId val="99717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67167"/>
        <c:crosses val="autoZero"/>
        <c:auto val="1"/>
        <c:lblAlgn val="ctr"/>
        <c:lblOffset val="100"/>
        <c:noMultiLvlLbl val="0"/>
      </c:catAx>
      <c:valAx>
        <c:axId val="99716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28</xdr:col>
      <xdr:colOff>131070</xdr:colOff>
      <xdr:row>64</xdr:row>
      <xdr:rowOff>113500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A4DBC-FB1B-4BDF-83CC-9B6BA8DB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981700"/>
          <a:ext cx="18238095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16</xdr:col>
      <xdr:colOff>208270</xdr:colOff>
      <xdr:row>104</xdr:row>
      <xdr:rowOff>18167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3E641B-3C7F-4969-A716-5BD46307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2839700"/>
          <a:ext cx="10238095" cy="70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762000</xdr:colOff>
      <xdr:row>23</xdr:row>
      <xdr:rowOff>22224</xdr:rowOff>
    </xdr:from>
    <xdr:to>
      <xdr:col>23</xdr:col>
      <xdr:colOff>269875</xdr:colOff>
      <xdr:row>39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0C4824-30DB-C72A-8065-E438A5744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0.61988</cdr:x>
      <cdr:y>0.17684</cdr:y>
    </cdr:from>
    <cdr:to>
      <cdr:x>0.68276</cdr:x>
      <cdr:y>0.90279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574B692-3840-3630-6974-A78711059DF6}"/>
            </a:ext>
          </a:extLst>
        </cdr:cNvPr>
        <cdr:cNvSpPr/>
      </cdr:nvSpPr>
      <cdr:spPr>
        <a:xfrm xmlns:a="http://schemas.openxmlformats.org/drawingml/2006/main">
          <a:off x="3505200" y="542926"/>
          <a:ext cx="355600" cy="22288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alpha val="23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403224</xdr:colOff>
      <xdr:row>8</xdr:row>
      <xdr:rowOff>47624</xdr:rowOff>
    </xdr:from>
    <xdr:to>
      <xdr:col>23</xdr:col>
      <xdr:colOff>584199</xdr:colOff>
      <xdr:row>25</xdr:row>
      <xdr:rowOff>120649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EB9F0-E36E-98FB-54AF-5FDBF782C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U44"/>
  <sheetViews>
    <sheetView zoomScaleNormal="100" workbookViewId="0">
      <pane xSplit="7" ySplit="1" topLeftCell="AP9" activePane="bottomRight" state="frozen"/>
      <selection pane="topRight" activeCell="H1" sqref="H1"/>
      <selection pane="bottomLeft" activeCell="A2" sqref="A2"/>
      <selection pane="bottomRight" activeCell="AW43" sqref="AW43"/>
    </sheetView>
  </sheetViews>
  <sheetFormatPr defaultColWidth="9.1796875" defaultRowHeight="14.5" x14ac:dyDescent="0.35"/>
  <cols>
    <col min="1" max="1" width="4" customWidth="1"/>
    <col min="2" max="2" width="4.26953125" customWidth="1"/>
    <col min="3" max="3" width="9.81640625" customWidth="1"/>
    <col min="4" max="4" width="21.1796875" customWidth="1"/>
    <col min="5" max="5" width="11" customWidth="1"/>
    <col min="6" max="6" width="5.81640625" customWidth="1"/>
    <col min="7" max="7" width="12.453125" customWidth="1"/>
    <col min="8" max="8" width="10.7265625" customWidth="1"/>
    <col min="9" max="9" width="9" customWidth="1"/>
    <col min="10" max="10" width="11" customWidth="1"/>
    <col min="11" max="11" width="9.7265625" customWidth="1"/>
    <col min="12" max="12" width="9" customWidth="1"/>
    <col min="13" max="13" width="11" customWidth="1"/>
    <col min="14" max="14" width="9.7265625" customWidth="1"/>
    <col min="15" max="15" width="9" customWidth="1"/>
    <col min="16" max="16" width="11" customWidth="1"/>
    <col min="17" max="17" width="9.7265625" customWidth="1"/>
    <col min="18" max="18" width="9" customWidth="1"/>
    <col min="19" max="19" width="11" customWidth="1"/>
    <col min="20" max="20" width="7.7265625" customWidth="1"/>
    <col min="21" max="21" width="9" customWidth="1"/>
    <col min="22" max="22" width="11" customWidth="1"/>
    <col min="23" max="23" width="8.7265625" customWidth="1"/>
    <col min="24" max="24" width="9" customWidth="1"/>
    <col min="25" max="25" width="11" customWidth="1"/>
    <col min="26" max="26" width="10.7265625" customWidth="1"/>
    <col min="27" max="27" width="9" customWidth="1"/>
    <col min="28" max="28" width="11" customWidth="1"/>
    <col min="29" max="29" width="10.7265625" customWidth="1"/>
    <col min="30" max="30" width="9" customWidth="1"/>
    <col min="31" max="31" width="11" customWidth="1"/>
    <col min="32" max="32" width="11.7265625" customWidth="1"/>
    <col min="33" max="33" width="9" customWidth="1"/>
    <col min="34" max="34" width="11" customWidth="1"/>
    <col min="35" max="35" width="11.7265625" customWidth="1"/>
    <col min="36" max="36" width="9" customWidth="1"/>
    <col min="37" max="37" width="11" customWidth="1"/>
    <col min="38" max="38" width="10.7265625" customWidth="1"/>
    <col min="39" max="39" width="9" customWidth="1"/>
    <col min="40" max="40" width="11" customWidth="1"/>
    <col min="41" max="41" width="11.7265625" customWidth="1"/>
    <col min="42" max="42" width="9" customWidth="1"/>
    <col min="43" max="43" width="11" customWidth="1"/>
    <col min="44" max="44" width="10.7265625" customWidth="1"/>
    <col min="45" max="45" width="9" customWidth="1"/>
    <col min="46" max="46" width="11" customWidth="1"/>
    <col min="47" max="47" width="14" bestFit="1" customWidth="1"/>
    <col min="48" max="48" width="9" customWidth="1"/>
    <col min="49" max="49" width="11" customWidth="1"/>
    <col min="50" max="50" width="11.7265625" customWidth="1"/>
    <col min="51" max="51" width="9" customWidth="1"/>
    <col min="52" max="52" width="11" customWidth="1"/>
    <col min="53" max="53" width="10.7265625" customWidth="1"/>
    <col min="54" max="54" width="9" customWidth="1"/>
    <col min="55" max="55" width="11" customWidth="1"/>
    <col min="56" max="56" width="10.7265625" customWidth="1"/>
    <col min="57" max="57" width="9" customWidth="1"/>
    <col min="58" max="58" width="11" customWidth="1"/>
    <col min="59" max="59" width="11.7265625" customWidth="1"/>
    <col min="60" max="60" width="9" customWidth="1"/>
    <col min="61" max="61" width="11" customWidth="1"/>
    <col min="62" max="62" width="10.7265625" customWidth="1"/>
    <col min="63" max="63" width="9" customWidth="1"/>
    <col min="64" max="64" width="9.7265625" customWidth="1"/>
    <col min="65" max="65" width="9" customWidth="1"/>
    <col min="66" max="66" width="10.7265625" customWidth="1"/>
    <col min="67" max="67" width="9" customWidth="1"/>
    <col min="68" max="68" width="9.7265625" customWidth="1"/>
    <col min="69" max="69" width="9" customWidth="1"/>
    <col min="70" max="70" width="10.7265625" customWidth="1"/>
    <col min="71" max="71" width="9" customWidth="1"/>
    <col min="72" max="72" width="10.7265625" customWidth="1"/>
    <col min="73" max="73" width="9.1796875" customWidth="1"/>
  </cols>
  <sheetData>
    <row r="1" spans="1:73" ht="18" customHeight="1" x14ac:dyDescent="0.35">
      <c r="A1" s="26" t="s">
        <v>24</v>
      </c>
      <c r="B1" s="27"/>
      <c r="C1" s="27"/>
      <c r="D1" s="27"/>
      <c r="E1" s="27"/>
      <c r="F1" s="27"/>
      <c r="G1" s="28"/>
      <c r="H1" s="26" t="s">
        <v>107</v>
      </c>
      <c r="I1" s="27"/>
      <c r="J1" s="28"/>
      <c r="K1" s="26" t="s">
        <v>9</v>
      </c>
      <c r="L1" s="27"/>
      <c r="M1" s="28"/>
      <c r="N1" s="26" t="s">
        <v>66</v>
      </c>
      <c r="O1" s="27"/>
      <c r="P1" s="28"/>
      <c r="Q1" s="26" t="s">
        <v>52</v>
      </c>
      <c r="R1" s="27"/>
      <c r="S1" s="28"/>
      <c r="T1" s="26" t="s">
        <v>12</v>
      </c>
      <c r="U1" s="27"/>
      <c r="V1" s="28"/>
      <c r="W1" s="26" t="s">
        <v>16</v>
      </c>
      <c r="X1" s="27"/>
      <c r="Y1" s="28"/>
      <c r="Z1" s="26" t="s">
        <v>87</v>
      </c>
      <c r="AA1" s="27"/>
      <c r="AB1" s="28"/>
      <c r="AC1" s="26" t="s">
        <v>15</v>
      </c>
      <c r="AD1" s="27"/>
      <c r="AE1" s="28"/>
      <c r="AF1" s="26" t="s">
        <v>78</v>
      </c>
      <c r="AG1" s="27"/>
      <c r="AH1" s="28"/>
      <c r="AI1" s="26" t="s">
        <v>64</v>
      </c>
      <c r="AJ1" s="27"/>
      <c r="AK1" s="28"/>
      <c r="AL1" s="26" t="s">
        <v>51</v>
      </c>
      <c r="AM1" s="27"/>
      <c r="AN1" s="28"/>
      <c r="AO1" s="26" t="s">
        <v>69</v>
      </c>
      <c r="AP1" s="27"/>
      <c r="AQ1" s="28"/>
      <c r="AR1" s="26" t="s">
        <v>68</v>
      </c>
      <c r="AS1" s="27"/>
      <c r="AT1" s="28"/>
      <c r="AU1" s="26" t="s">
        <v>1</v>
      </c>
      <c r="AV1" s="27"/>
      <c r="AW1" s="28"/>
      <c r="AX1" s="26" t="s">
        <v>17</v>
      </c>
      <c r="AY1" s="27"/>
      <c r="AZ1" s="28"/>
      <c r="BA1" s="26" t="s">
        <v>83</v>
      </c>
      <c r="BB1" s="27"/>
      <c r="BC1" s="28"/>
      <c r="BD1" s="26" t="s">
        <v>30</v>
      </c>
      <c r="BE1" s="27"/>
      <c r="BF1" s="28"/>
      <c r="BG1" s="26" t="s">
        <v>115</v>
      </c>
      <c r="BH1" s="27"/>
      <c r="BI1" s="28"/>
      <c r="BJ1" s="26" t="s">
        <v>72</v>
      </c>
      <c r="BK1" s="28"/>
      <c r="BL1" s="26" t="s">
        <v>47</v>
      </c>
      <c r="BM1" s="28"/>
      <c r="BN1" s="26" t="s">
        <v>70</v>
      </c>
      <c r="BO1" s="28"/>
      <c r="BP1" s="26" t="s">
        <v>13</v>
      </c>
      <c r="BQ1" s="28"/>
      <c r="BR1" s="26" t="s">
        <v>6</v>
      </c>
      <c r="BS1" s="28"/>
      <c r="BT1" s="26" t="s">
        <v>106</v>
      </c>
      <c r="BU1" s="28"/>
    </row>
    <row r="2" spans="1:73" ht="18" customHeight="1" x14ac:dyDescent="0.35">
      <c r="A2" s="1" t="s">
        <v>105</v>
      </c>
      <c r="B2" s="1" t="s">
        <v>116</v>
      </c>
      <c r="C2" s="1" t="s">
        <v>50</v>
      </c>
      <c r="D2" s="1" t="s">
        <v>62</v>
      </c>
      <c r="E2" s="1" t="s">
        <v>60</v>
      </c>
      <c r="F2" s="1" t="s">
        <v>25</v>
      </c>
      <c r="G2" s="1" t="s">
        <v>99</v>
      </c>
      <c r="H2" s="1" t="s">
        <v>93</v>
      </c>
      <c r="I2" s="1" t="s">
        <v>92</v>
      </c>
      <c r="J2" s="1" t="s">
        <v>49</v>
      </c>
      <c r="K2" s="1" t="s">
        <v>93</v>
      </c>
      <c r="L2" s="1" t="s">
        <v>92</v>
      </c>
      <c r="M2" s="1" t="s">
        <v>49</v>
      </c>
      <c r="N2" s="1" t="s">
        <v>93</v>
      </c>
      <c r="O2" s="1" t="s">
        <v>92</v>
      </c>
      <c r="P2" s="1" t="s">
        <v>49</v>
      </c>
      <c r="Q2" s="1" t="s">
        <v>93</v>
      </c>
      <c r="R2" s="1" t="s">
        <v>92</v>
      </c>
      <c r="S2" s="1" t="s">
        <v>49</v>
      </c>
      <c r="T2" s="1" t="s">
        <v>93</v>
      </c>
      <c r="U2" s="1" t="s">
        <v>92</v>
      </c>
      <c r="V2" s="1" t="s">
        <v>49</v>
      </c>
      <c r="W2" s="1" t="s">
        <v>93</v>
      </c>
      <c r="X2" s="1" t="s">
        <v>92</v>
      </c>
      <c r="Y2" s="1" t="s">
        <v>49</v>
      </c>
      <c r="Z2" s="1" t="s">
        <v>93</v>
      </c>
      <c r="AA2" s="1" t="s">
        <v>92</v>
      </c>
      <c r="AB2" s="1" t="s">
        <v>49</v>
      </c>
      <c r="AC2" s="1" t="s">
        <v>93</v>
      </c>
      <c r="AD2" s="1" t="s">
        <v>92</v>
      </c>
      <c r="AE2" s="1" t="s">
        <v>49</v>
      </c>
      <c r="AF2" s="1" t="s">
        <v>93</v>
      </c>
      <c r="AG2" s="1" t="s">
        <v>92</v>
      </c>
      <c r="AH2" s="1" t="s">
        <v>49</v>
      </c>
      <c r="AI2" s="1" t="s">
        <v>93</v>
      </c>
      <c r="AJ2" s="1" t="s">
        <v>92</v>
      </c>
      <c r="AK2" s="1" t="s">
        <v>49</v>
      </c>
      <c r="AL2" s="1" t="s">
        <v>93</v>
      </c>
      <c r="AM2" s="1" t="s">
        <v>92</v>
      </c>
      <c r="AN2" s="1" t="s">
        <v>49</v>
      </c>
      <c r="AO2" s="1" t="s">
        <v>93</v>
      </c>
      <c r="AP2" s="1" t="s">
        <v>92</v>
      </c>
      <c r="AQ2" s="1" t="s">
        <v>49</v>
      </c>
      <c r="AR2" s="1" t="s">
        <v>93</v>
      </c>
      <c r="AS2" s="1" t="s">
        <v>92</v>
      </c>
      <c r="AT2" s="1" t="s">
        <v>49</v>
      </c>
      <c r="AU2" s="1" t="s">
        <v>93</v>
      </c>
      <c r="AV2" s="1" t="s">
        <v>92</v>
      </c>
      <c r="AW2" s="1" t="s">
        <v>49</v>
      </c>
      <c r="AX2" s="1" t="s">
        <v>93</v>
      </c>
      <c r="AY2" s="1" t="s">
        <v>92</v>
      </c>
      <c r="AZ2" s="1" t="s">
        <v>49</v>
      </c>
      <c r="BA2" s="1" t="s">
        <v>93</v>
      </c>
      <c r="BB2" s="1" t="s">
        <v>92</v>
      </c>
      <c r="BC2" s="1" t="s">
        <v>49</v>
      </c>
      <c r="BD2" s="1" t="s">
        <v>93</v>
      </c>
      <c r="BE2" s="1" t="s">
        <v>92</v>
      </c>
      <c r="BF2" s="1" t="s">
        <v>49</v>
      </c>
      <c r="BG2" s="1" t="s">
        <v>93</v>
      </c>
      <c r="BH2" s="1" t="s">
        <v>92</v>
      </c>
      <c r="BI2" s="1" t="s">
        <v>49</v>
      </c>
      <c r="BJ2" s="1" t="s">
        <v>93</v>
      </c>
      <c r="BK2" s="1" t="s">
        <v>92</v>
      </c>
      <c r="BL2" s="1" t="s">
        <v>93</v>
      </c>
      <c r="BM2" s="1" t="s">
        <v>92</v>
      </c>
      <c r="BN2" s="1" t="s">
        <v>93</v>
      </c>
      <c r="BO2" s="1" t="s">
        <v>92</v>
      </c>
      <c r="BP2" s="1" t="s">
        <v>93</v>
      </c>
      <c r="BQ2" s="1" t="s">
        <v>92</v>
      </c>
      <c r="BR2" s="1" t="s">
        <v>93</v>
      </c>
      <c r="BS2" s="1" t="s">
        <v>92</v>
      </c>
      <c r="BT2" s="1" t="s">
        <v>93</v>
      </c>
      <c r="BU2" s="1" t="s">
        <v>92</v>
      </c>
    </row>
    <row r="3" spans="1:73" x14ac:dyDescent="0.35">
      <c r="A3" s="5"/>
      <c r="B3" s="5" t="b">
        <v>0</v>
      </c>
      <c r="C3" s="5" t="s">
        <v>102</v>
      </c>
      <c r="D3" s="6">
        <v>46232.627175925903</v>
      </c>
      <c r="E3" s="3" t="s">
        <v>24</v>
      </c>
      <c r="F3" s="4" t="s">
        <v>105</v>
      </c>
      <c r="G3" s="5" t="s">
        <v>27</v>
      </c>
      <c r="H3" s="2">
        <v>6416.48</v>
      </c>
      <c r="I3" s="2">
        <v>0.196157044924541</v>
      </c>
      <c r="J3" s="2"/>
      <c r="K3" s="4">
        <v>61.733333333333299</v>
      </c>
      <c r="L3" s="4">
        <v>24.7686731676609</v>
      </c>
      <c r="M3" s="4"/>
      <c r="N3" s="2">
        <v>11.6833333333333</v>
      </c>
      <c r="O3" s="2">
        <v>98.931974800367897</v>
      </c>
      <c r="P3" s="2"/>
      <c r="Q3" s="4">
        <v>4879.26</v>
      </c>
      <c r="R3" s="4">
        <v>2.35390431833817</v>
      </c>
      <c r="S3" s="4"/>
      <c r="T3" s="2">
        <v>6.6766666666666703</v>
      </c>
      <c r="U3" s="2">
        <v>114.53988312768401</v>
      </c>
      <c r="V3" s="2"/>
      <c r="W3" s="4">
        <v>902.64666666666699</v>
      </c>
      <c r="X3" s="4">
        <v>8.8087154876297493</v>
      </c>
      <c r="Y3" s="4"/>
      <c r="Z3" s="2">
        <v>258.61</v>
      </c>
      <c r="AA3" s="2">
        <v>6.2208682160291904</v>
      </c>
      <c r="AB3" s="2"/>
      <c r="AC3" s="4">
        <v>23.36</v>
      </c>
      <c r="AD3" s="4">
        <v>32.718672256650798</v>
      </c>
      <c r="AE3" s="4"/>
      <c r="AF3" s="2">
        <v>4163.3</v>
      </c>
      <c r="AG3" s="2">
        <v>3.09210014037262</v>
      </c>
      <c r="AH3" s="2"/>
      <c r="AI3" s="4">
        <v>8.3433333333333302</v>
      </c>
      <c r="AJ3" s="4">
        <v>34.599496755271197</v>
      </c>
      <c r="AK3" s="4"/>
      <c r="AL3" s="2">
        <v>88.423333333333304</v>
      </c>
      <c r="AM3" s="2">
        <v>16.343058662287199</v>
      </c>
      <c r="AN3" s="2"/>
      <c r="AO3" s="4">
        <v>515.55333333333294</v>
      </c>
      <c r="AP3" s="4">
        <v>8.6292189200909295</v>
      </c>
      <c r="AQ3" s="4"/>
      <c r="AR3" s="2">
        <v>1660.1766666666699</v>
      </c>
      <c r="AS3" s="2">
        <v>9.9386356895837995</v>
      </c>
      <c r="AT3" s="2"/>
      <c r="AU3" s="4">
        <v>8.3466666666666693</v>
      </c>
      <c r="AV3" s="4">
        <v>69.240529487877197</v>
      </c>
      <c r="AW3" s="4"/>
      <c r="AX3" s="2">
        <v>624.73666666666702</v>
      </c>
      <c r="AY3" s="2">
        <v>11.341883453897299</v>
      </c>
      <c r="AZ3" s="2"/>
      <c r="BA3" s="4">
        <v>3.33666666666667</v>
      </c>
      <c r="BB3" s="4">
        <v>173.20508075688801</v>
      </c>
      <c r="BC3" s="4"/>
      <c r="BD3" s="2">
        <v>5.0066666666666704</v>
      </c>
      <c r="BE3" s="2">
        <v>99.966727679775602</v>
      </c>
      <c r="BF3" s="2"/>
      <c r="BG3" s="4">
        <v>650.70666666666705</v>
      </c>
      <c r="BH3" s="4">
        <v>5.8074663080120699</v>
      </c>
      <c r="BI3" s="4"/>
      <c r="BJ3" s="2">
        <v>745.8</v>
      </c>
      <c r="BK3" s="2">
        <v>4.0826409991921304</v>
      </c>
      <c r="BL3" s="4">
        <v>86.76</v>
      </c>
      <c r="BM3" s="4">
        <v>66.864200991218794</v>
      </c>
      <c r="BN3" s="2">
        <v>155.16</v>
      </c>
      <c r="BO3" s="2">
        <v>17.068813240369099</v>
      </c>
      <c r="BP3" s="4">
        <v>286.97333333333302</v>
      </c>
      <c r="BQ3" s="4">
        <v>52.9418587414361</v>
      </c>
      <c r="BR3" s="2">
        <v>1012.77333333333</v>
      </c>
      <c r="BS3" s="2">
        <v>4.6972087118131398</v>
      </c>
      <c r="BT3" s="4">
        <v>1124.5733333333301</v>
      </c>
      <c r="BU3" s="4">
        <v>9.3825777188935202</v>
      </c>
    </row>
    <row r="4" spans="1:73" x14ac:dyDescent="0.35">
      <c r="A4" s="5"/>
      <c r="B4" s="5" t="b">
        <v>0</v>
      </c>
      <c r="C4" s="5" t="s">
        <v>86</v>
      </c>
      <c r="D4" s="6">
        <v>46232.630219907398</v>
      </c>
      <c r="E4" s="3" t="s">
        <v>43</v>
      </c>
      <c r="F4" s="4" t="s">
        <v>80</v>
      </c>
      <c r="G4" s="5" t="s">
        <v>108</v>
      </c>
      <c r="H4" s="2">
        <v>2928.36666666667</v>
      </c>
      <c r="I4" s="2">
        <v>2.63188121805053</v>
      </c>
      <c r="J4" s="2">
        <v>0</v>
      </c>
      <c r="K4" s="4">
        <v>281.96666666666698</v>
      </c>
      <c r="L4" s="4">
        <v>1.0237917056193799</v>
      </c>
      <c r="M4" s="4">
        <v>0</v>
      </c>
      <c r="N4" s="2">
        <v>46.716666666666697</v>
      </c>
      <c r="O4" s="2">
        <v>26.956100114960101</v>
      </c>
      <c r="P4" s="2">
        <v>0</v>
      </c>
      <c r="Q4" s="4">
        <v>3974.71333333333</v>
      </c>
      <c r="R4" s="4">
        <v>3.7849934087675399</v>
      </c>
      <c r="S4" s="4">
        <v>0</v>
      </c>
      <c r="T4" s="2">
        <v>18.3533333333333</v>
      </c>
      <c r="U4" s="2">
        <v>68.614192355823704</v>
      </c>
      <c r="V4" s="2">
        <v>0</v>
      </c>
      <c r="W4" s="4">
        <v>1116.2233333333299</v>
      </c>
      <c r="X4" s="4">
        <v>6.9614725056532301</v>
      </c>
      <c r="Y4" s="4">
        <v>0</v>
      </c>
      <c r="Z4" s="2">
        <v>73.41</v>
      </c>
      <c r="AA4" s="2">
        <v>14.193623943912399</v>
      </c>
      <c r="AB4" s="2">
        <v>0</v>
      </c>
      <c r="AC4" s="4">
        <v>38.373333333333299</v>
      </c>
      <c r="AD4" s="4">
        <v>32.817038143777403</v>
      </c>
      <c r="AE4" s="4">
        <v>0</v>
      </c>
      <c r="AF4" s="2">
        <v>2666.39</v>
      </c>
      <c r="AG4" s="2">
        <v>8.3422716168547293</v>
      </c>
      <c r="AH4" s="2">
        <v>0</v>
      </c>
      <c r="AI4" s="4">
        <v>18.3533333333333</v>
      </c>
      <c r="AJ4" s="4">
        <v>87.667242263888895</v>
      </c>
      <c r="AK4" s="4">
        <v>0</v>
      </c>
      <c r="AL4" s="2">
        <v>58.393333333333302</v>
      </c>
      <c r="AM4" s="2">
        <v>34.639321537504102</v>
      </c>
      <c r="AN4" s="2">
        <v>0</v>
      </c>
      <c r="AO4" s="4">
        <v>230.243333333333</v>
      </c>
      <c r="AP4" s="4">
        <v>18.573862262371101</v>
      </c>
      <c r="AQ4" s="4">
        <v>0</v>
      </c>
      <c r="AR4" s="2">
        <v>602.31666666666695</v>
      </c>
      <c r="AS4" s="2">
        <v>10.052282151851101</v>
      </c>
      <c r="AT4" s="2">
        <v>0</v>
      </c>
      <c r="AU4" s="4">
        <v>1.67</v>
      </c>
      <c r="AV4" s="4">
        <v>173.20508075688801</v>
      </c>
      <c r="AW4" s="4">
        <v>0</v>
      </c>
      <c r="AX4" s="2">
        <v>34.983333333333299</v>
      </c>
      <c r="AY4" s="2">
        <v>28.5707491668655</v>
      </c>
      <c r="AZ4" s="2">
        <v>0</v>
      </c>
      <c r="BA4" s="4">
        <v>0</v>
      </c>
      <c r="BB4" s="4" t="s">
        <v>35</v>
      </c>
      <c r="BC4" s="4">
        <v>0</v>
      </c>
      <c r="BD4" s="2">
        <v>8.3433333333333302</v>
      </c>
      <c r="BE4" s="2">
        <v>91.659363126148705</v>
      </c>
      <c r="BF4" s="2">
        <v>0</v>
      </c>
      <c r="BG4" s="4">
        <v>425.46</v>
      </c>
      <c r="BH4" s="4">
        <v>12.9412870775159</v>
      </c>
      <c r="BI4" s="4">
        <v>0</v>
      </c>
      <c r="BJ4" s="2">
        <v>213817.11333333299</v>
      </c>
      <c r="BK4" s="2">
        <v>0.22081480447775401</v>
      </c>
      <c r="BL4" s="4">
        <v>17629.07</v>
      </c>
      <c r="BM4" s="4">
        <v>2.1262306517777398</v>
      </c>
      <c r="BN4" s="2">
        <v>926875.99666666705</v>
      </c>
      <c r="BO4" s="2">
        <v>0.30705029759902902</v>
      </c>
      <c r="BP4" s="4">
        <v>94621.71</v>
      </c>
      <c r="BQ4" s="4">
        <v>0.69420293366304398</v>
      </c>
      <c r="BR4" s="2">
        <v>498825.47</v>
      </c>
      <c r="BS4" s="2">
        <v>0.59531459855564095</v>
      </c>
      <c r="BT4" s="4">
        <v>566911.27333333297</v>
      </c>
      <c r="BU4" s="4">
        <v>0.58826147842355403</v>
      </c>
    </row>
    <row r="5" spans="1:73" x14ac:dyDescent="0.35">
      <c r="A5" s="5"/>
      <c r="B5" s="5" t="b">
        <v>0</v>
      </c>
      <c r="C5" s="5" t="s">
        <v>8</v>
      </c>
      <c r="D5" s="6">
        <v>46232.633402777799</v>
      </c>
      <c r="E5" s="3" t="s">
        <v>65</v>
      </c>
      <c r="F5" s="4" t="s">
        <v>21</v>
      </c>
      <c r="G5" s="5" t="s">
        <v>114</v>
      </c>
      <c r="H5" s="2">
        <v>4228.37</v>
      </c>
      <c r="I5" s="2">
        <v>6.7998347600763107E-2</v>
      </c>
      <c r="J5" s="2">
        <v>4.6363106596964503</v>
      </c>
      <c r="K5" s="4">
        <v>926.006666666667</v>
      </c>
      <c r="L5" s="4">
        <v>5.8476720663471298</v>
      </c>
      <c r="M5" s="4">
        <v>5.04154252318523</v>
      </c>
      <c r="N5" s="2">
        <v>231.91</v>
      </c>
      <c r="O5" s="2">
        <v>20.053983902011499</v>
      </c>
      <c r="P5" s="2">
        <v>4.7014419155453302</v>
      </c>
      <c r="Q5" s="4">
        <v>4281.7833333333301</v>
      </c>
      <c r="R5" s="4">
        <v>2.6054820766597202</v>
      </c>
      <c r="S5" s="4">
        <v>4.4541280476940903</v>
      </c>
      <c r="T5" s="2">
        <v>45.046666666666702</v>
      </c>
      <c r="U5" s="2">
        <v>33.332100660426903</v>
      </c>
      <c r="V5" s="2">
        <v>15.641620697541001</v>
      </c>
      <c r="W5" s="4">
        <v>1062.82666666667</v>
      </c>
      <c r="X5" s="4">
        <v>6.0004989382227203</v>
      </c>
      <c r="Y5" s="4" t="s">
        <v>29</v>
      </c>
      <c r="Z5" s="2">
        <v>9945.5433333333294</v>
      </c>
      <c r="AA5" s="2">
        <v>0.73762619246547201</v>
      </c>
      <c r="AB5" s="2">
        <v>5.7435325856133996</v>
      </c>
      <c r="AC5" s="4">
        <v>4552.1733333333304</v>
      </c>
      <c r="AD5" s="4">
        <v>3.1040859073893898</v>
      </c>
      <c r="AE5" s="4">
        <v>5.8115495899895402</v>
      </c>
      <c r="AF5" s="2">
        <v>37519.03</v>
      </c>
      <c r="AG5" s="2">
        <v>2.0749615278739202</v>
      </c>
      <c r="AH5" s="2">
        <v>6.7445558386842404</v>
      </c>
      <c r="AI5" s="4">
        <v>18693.3266666667</v>
      </c>
      <c r="AJ5" s="4">
        <v>2.5791742034399201</v>
      </c>
      <c r="AK5" s="4">
        <v>5.7340228668102897</v>
      </c>
      <c r="AL5" s="2">
        <v>5137.99</v>
      </c>
      <c r="AM5" s="2">
        <v>2.7289788433839299</v>
      </c>
      <c r="AN5" s="2">
        <v>5.48767327547987</v>
      </c>
      <c r="AO5" s="4">
        <v>15197.223333333301</v>
      </c>
      <c r="AP5" s="4">
        <v>3.5201012987168498</v>
      </c>
      <c r="AQ5" s="4">
        <v>5.7835475579932396</v>
      </c>
      <c r="AR5" s="2">
        <v>2664.7166666666699</v>
      </c>
      <c r="AS5" s="2">
        <v>5.18071956712246</v>
      </c>
      <c r="AT5" s="2">
        <v>5.8761356006714003</v>
      </c>
      <c r="AU5" s="4">
        <v>2080.6766666666699</v>
      </c>
      <c r="AV5" s="4">
        <v>3.97032766099194</v>
      </c>
      <c r="AW5" s="4">
        <v>5.3707325618658501</v>
      </c>
      <c r="AX5" s="2">
        <v>21927.293333333299</v>
      </c>
      <c r="AY5" s="2">
        <v>4.6271674189254002</v>
      </c>
      <c r="AZ5" s="2">
        <v>4.6902072576809797</v>
      </c>
      <c r="BA5" s="4">
        <v>3110.3033333333301</v>
      </c>
      <c r="BB5" s="4">
        <v>3.0602677587317699</v>
      </c>
      <c r="BC5" s="4">
        <v>5.5480499003865802</v>
      </c>
      <c r="BD5" s="2">
        <v>2172.46</v>
      </c>
      <c r="BE5" s="2">
        <v>2.4385899146799099</v>
      </c>
      <c r="BF5" s="2">
        <v>5.6402150454225097</v>
      </c>
      <c r="BG5" s="4">
        <v>39518.823333333297</v>
      </c>
      <c r="BH5" s="4">
        <v>1.49340366308013</v>
      </c>
      <c r="BI5" s="4">
        <v>5.52497262568615</v>
      </c>
      <c r="BJ5" s="2">
        <v>209969.03</v>
      </c>
      <c r="BK5" s="2">
        <v>0.53474097282486199</v>
      </c>
      <c r="BL5" s="4">
        <v>17508.78</v>
      </c>
      <c r="BM5" s="4">
        <v>1.7810298393883599</v>
      </c>
      <c r="BN5" s="2">
        <v>916757.67666666699</v>
      </c>
      <c r="BO5" s="2">
        <v>0.641861258128259</v>
      </c>
      <c r="BP5" s="4">
        <v>94155.11</v>
      </c>
      <c r="BQ5" s="4">
        <v>0.71489740754526399</v>
      </c>
      <c r="BR5" s="2">
        <v>491899.28</v>
      </c>
      <c r="BS5" s="2">
        <v>0.301958665639605</v>
      </c>
      <c r="BT5" s="4">
        <v>566046.63666666695</v>
      </c>
      <c r="BU5" s="4">
        <v>9.4319084237757006E-2</v>
      </c>
    </row>
    <row r="6" spans="1:73" x14ac:dyDescent="0.35">
      <c r="A6" s="5"/>
      <c r="B6" s="5" t="b">
        <v>0</v>
      </c>
      <c r="C6" s="5" t="s">
        <v>79</v>
      </c>
      <c r="D6" s="6">
        <v>46232.636527777802</v>
      </c>
      <c r="E6" s="3" t="s">
        <v>65</v>
      </c>
      <c r="F6" s="4" t="s">
        <v>56</v>
      </c>
      <c r="G6" s="5" t="s">
        <v>97</v>
      </c>
      <c r="H6" s="2">
        <v>16088.88</v>
      </c>
      <c r="I6" s="2">
        <v>1.9211126959860501</v>
      </c>
      <c r="J6" s="2">
        <v>46.935439848418802</v>
      </c>
      <c r="K6" s="4">
        <v>7017.3533333333298</v>
      </c>
      <c r="L6" s="4">
        <v>4.35016825774228</v>
      </c>
      <c r="M6" s="4">
        <v>52.724579669111897</v>
      </c>
      <c r="N6" s="2">
        <v>2080.67</v>
      </c>
      <c r="O6" s="2">
        <v>1.13710527265938</v>
      </c>
      <c r="P6" s="2">
        <v>51.635300706989803</v>
      </c>
      <c r="Q6" s="4">
        <v>7100.86</v>
      </c>
      <c r="R6" s="4">
        <v>0.75503906228126805</v>
      </c>
      <c r="S6" s="4">
        <v>45.345548406569797</v>
      </c>
      <c r="T6" s="2">
        <v>106.78</v>
      </c>
      <c r="U6" s="2">
        <v>39.866618108094798</v>
      </c>
      <c r="V6" s="2">
        <v>51.815798434611303</v>
      </c>
      <c r="W6" s="4">
        <v>1827.04666666667</v>
      </c>
      <c r="X6" s="4">
        <v>4.2184872754395002</v>
      </c>
      <c r="Y6" s="4">
        <v>46.358044977319203</v>
      </c>
      <c r="Z6" s="2">
        <v>89851.406666666706</v>
      </c>
      <c r="AA6" s="2">
        <v>1.4972405282160299</v>
      </c>
      <c r="AB6" s="2">
        <v>52.232160153775403</v>
      </c>
      <c r="AC6" s="4">
        <v>40655.519999999997</v>
      </c>
      <c r="AD6" s="4">
        <v>0.73928717563216795</v>
      </c>
      <c r="AE6" s="4">
        <v>52.294865093094899</v>
      </c>
      <c r="AF6" s="2">
        <v>271033.40000000002</v>
      </c>
      <c r="AG6" s="2">
        <v>0.59465948090471599</v>
      </c>
      <c r="AH6" s="2">
        <v>51.933405452377002</v>
      </c>
      <c r="AI6" s="4">
        <v>169411.85</v>
      </c>
      <c r="AJ6" s="4">
        <v>1.0458311506192901</v>
      </c>
      <c r="AK6" s="4">
        <v>52.011114877573398</v>
      </c>
      <c r="AL6" s="2">
        <v>48132.926666666703</v>
      </c>
      <c r="AM6" s="2">
        <v>0.71581256116432301</v>
      </c>
      <c r="AN6" s="2">
        <v>51.936669211499002</v>
      </c>
      <c r="AO6" s="4">
        <v>136077.82999999999</v>
      </c>
      <c r="AP6" s="4">
        <v>0.79969379552374598</v>
      </c>
      <c r="AQ6" s="4">
        <v>52.494289303872598</v>
      </c>
      <c r="AR6" s="2">
        <v>18785.186666666701</v>
      </c>
      <c r="AS6" s="2">
        <v>0.62966115104279097</v>
      </c>
      <c r="AT6" s="2">
        <v>51.8061528943851</v>
      </c>
      <c r="AU6" s="4">
        <v>20198.596666666701</v>
      </c>
      <c r="AV6" s="4">
        <v>0.92339289302473204</v>
      </c>
      <c r="AW6" s="4">
        <v>52.175057173914801</v>
      </c>
      <c r="AX6" s="2">
        <v>242131.933333333</v>
      </c>
      <c r="AY6" s="2">
        <v>0.74195831199879503</v>
      </c>
      <c r="AZ6" s="2">
        <v>51.8668368916953</v>
      </c>
      <c r="BA6" s="4">
        <v>29041.976666666698</v>
      </c>
      <c r="BB6" s="4">
        <v>0.535186239657651</v>
      </c>
      <c r="BC6" s="4">
        <v>51.804058474209697</v>
      </c>
      <c r="BD6" s="2">
        <v>19718.153333333299</v>
      </c>
      <c r="BE6" s="2">
        <v>1.28945531501629</v>
      </c>
      <c r="BF6" s="2">
        <v>51.368564651206</v>
      </c>
      <c r="BG6" s="4">
        <v>358844.33</v>
      </c>
      <c r="BH6" s="4">
        <v>0.69732960533945998</v>
      </c>
      <c r="BI6" s="4">
        <v>50.654491617785197</v>
      </c>
      <c r="BJ6" s="2">
        <v>205193.183333333</v>
      </c>
      <c r="BK6" s="2">
        <v>1.08409805119053</v>
      </c>
      <c r="BL6" s="4">
        <v>16991.0366666667</v>
      </c>
      <c r="BM6" s="4">
        <v>2.5657921909231698</v>
      </c>
      <c r="BN6" s="2">
        <v>905481.92</v>
      </c>
      <c r="BO6" s="2">
        <v>0.112646151688302</v>
      </c>
      <c r="BP6" s="4">
        <v>92769.38</v>
      </c>
      <c r="BQ6" s="4">
        <v>1.1816003858314801</v>
      </c>
      <c r="BR6" s="2">
        <v>484783.39666666702</v>
      </c>
      <c r="BS6" s="2">
        <v>0.209971473082671</v>
      </c>
      <c r="BT6" s="4">
        <v>558196.96</v>
      </c>
      <c r="BU6" s="4">
        <v>0.218427252020166</v>
      </c>
    </row>
    <row r="7" spans="1:73" x14ac:dyDescent="0.35">
      <c r="A7" s="5"/>
      <c r="B7" s="5" t="b">
        <v>0</v>
      </c>
      <c r="C7" s="5" t="s">
        <v>82</v>
      </c>
      <c r="D7" s="6">
        <v>46232.639710648102</v>
      </c>
      <c r="E7" s="3" t="s">
        <v>65</v>
      </c>
      <c r="F7" s="4" t="s">
        <v>110</v>
      </c>
      <c r="G7" s="5" t="s">
        <v>41</v>
      </c>
      <c r="H7" s="2">
        <v>30785.476666666698</v>
      </c>
      <c r="I7" s="2">
        <v>2.2550859406620298</v>
      </c>
      <c r="J7" s="2">
        <v>99.3491422134841</v>
      </c>
      <c r="K7" s="4">
        <v>13825.9</v>
      </c>
      <c r="L7" s="4">
        <v>2.2738373645071199</v>
      </c>
      <c r="M7" s="4">
        <v>106.02185552323699</v>
      </c>
      <c r="N7" s="2">
        <v>4425.3166666666702</v>
      </c>
      <c r="O7" s="2">
        <v>1.33367930677094</v>
      </c>
      <c r="P7" s="2">
        <v>111.158070330502</v>
      </c>
      <c r="Q7" s="4">
        <v>10439.64</v>
      </c>
      <c r="R7" s="4">
        <v>1.25057412788245</v>
      </c>
      <c r="S7" s="4">
        <v>93.775397115594004</v>
      </c>
      <c r="T7" s="2">
        <v>211.89</v>
      </c>
      <c r="U7" s="2">
        <v>18.348621462641599</v>
      </c>
      <c r="V7" s="2">
        <v>113.407609805186</v>
      </c>
      <c r="W7" s="4">
        <v>2776.5266666666698</v>
      </c>
      <c r="X7" s="4">
        <v>5.1833693957125799</v>
      </c>
      <c r="Y7" s="4">
        <v>108.280655675334</v>
      </c>
      <c r="Z7" s="2">
        <v>187160.656666667</v>
      </c>
      <c r="AA7" s="2">
        <v>0.273534677854673</v>
      </c>
      <c r="AB7" s="2">
        <v>108.845946595402</v>
      </c>
      <c r="AC7" s="4">
        <v>85407.32</v>
      </c>
      <c r="AD7" s="4">
        <v>0.86321581886744503</v>
      </c>
      <c r="AE7" s="4">
        <v>109.913125747376</v>
      </c>
      <c r="AF7" s="2">
        <v>565009.23333333305</v>
      </c>
      <c r="AG7" s="2">
        <v>0.28810916038557099</v>
      </c>
      <c r="AH7" s="2">
        <v>108.822537040125</v>
      </c>
      <c r="AI7" s="4">
        <v>355632.09666666703</v>
      </c>
      <c r="AJ7" s="4">
        <v>0.28470861811447401</v>
      </c>
      <c r="AK7" s="4">
        <v>109.18876828518501</v>
      </c>
      <c r="AL7" s="2">
        <v>100984.653333333</v>
      </c>
      <c r="AM7" s="2">
        <v>0.32071891335855501</v>
      </c>
      <c r="AN7" s="2">
        <v>109.03431436409301</v>
      </c>
      <c r="AO7" s="4">
        <v>284220.28000000003</v>
      </c>
      <c r="AP7" s="4">
        <v>0.517180986559862</v>
      </c>
      <c r="AQ7" s="4">
        <v>109.73956556752999</v>
      </c>
      <c r="AR7" s="2">
        <v>38171.636666666702</v>
      </c>
      <c r="AS7" s="2">
        <v>0.42937795721378402</v>
      </c>
      <c r="AT7" s="2">
        <v>107.041514131602</v>
      </c>
      <c r="AU7" s="4">
        <v>42697.456666666701</v>
      </c>
      <c r="AV7" s="4">
        <v>0.194260552574434</v>
      </c>
      <c r="AW7" s="4">
        <v>110.29673708204101</v>
      </c>
      <c r="AX7" s="2">
        <v>515705.65666666703</v>
      </c>
      <c r="AY7" s="2">
        <v>0.383934112970583</v>
      </c>
      <c r="AZ7" s="2">
        <v>110.477255924169</v>
      </c>
      <c r="BA7" s="4">
        <v>61204.803333333301</v>
      </c>
      <c r="BB7" s="4">
        <v>0.40560241955360599</v>
      </c>
      <c r="BC7" s="4">
        <v>109.174979622571</v>
      </c>
      <c r="BD7" s="2">
        <v>42098.19</v>
      </c>
      <c r="BE7" s="2">
        <v>1.1062548620242101</v>
      </c>
      <c r="BF7" s="2">
        <v>109.69639025723799</v>
      </c>
      <c r="BG7" s="4">
        <v>760616.33333333302</v>
      </c>
      <c r="BH7" s="4">
        <v>0.54134420757355495</v>
      </c>
      <c r="BI7" s="4">
        <v>107.435979085532</v>
      </c>
      <c r="BJ7" s="2">
        <v>205102.64333333299</v>
      </c>
      <c r="BK7" s="2">
        <v>0.20646774698911899</v>
      </c>
      <c r="BL7" s="4">
        <v>16665.3</v>
      </c>
      <c r="BM7" s="4">
        <v>2.4711760103891298</v>
      </c>
      <c r="BN7" s="2">
        <v>901205.90666666697</v>
      </c>
      <c r="BO7" s="2">
        <v>1.12697764847839</v>
      </c>
      <c r="BP7" s="4">
        <v>91370.559999999998</v>
      </c>
      <c r="BQ7" s="4">
        <v>0.33934784443759702</v>
      </c>
      <c r="BR7" s="2">
        <v>484952.77</v>
      </c>
      <c r="BS7" s="2">
        <v>1.08457429910609</v>
      </c>
      <c r="BT7" s="4">
        <v>556345.41</v>
      </c>
      <c r="BU7" s="4">
        <v>0.153803381694504</v>
      </c>
    </row>
    <row r="8" spans="1:73" x14ac:dyDescent="0.35">
      <c r="A8" s="5"/>
      <c r="B8" s="5" t="b">
        <v>0</v>
      </c>
      <c r="C8" s="5" t="s">
        <v>23</v>
      </c>
      <c r="D8" s="6">
        <v>46232.642824074101</v>
      </c>
      <c r="E8" s="3" t="s">
        <v>65</v>
      </c>
      <c r="F8" s="4" t="s">
        <v>114</v>
      </c>
      <c r="G8" s="5" t="s">
        <v>89</v>
      </c>
      <c r="H8" s="2">
        <v>95476.136666666702</v>
      </c>
      <c r="I8" s="2">
        <v>1.13792989815212</v>
      </c>
      <c r="J8" s="2">
        <v>330.060855676372</v>
      </c>
      <c r="K8" s="4">
        <v>25039.02</v>
      </c>
      <c r="L8" s="4">
        <v>2.0210875527043699</v>
      </c>
      <c r="M8" s="4">
        <v>193.79811367114601</v>
      </c>
      <c r="N8" s="2">
        <v>7526.4766666666701</v>
      </c>
      <c r="O8" s="2">
        <v>0.63975857226518396</v>
      </c>
      <c r="P8" s="2">
        <v>189.886193791457</v>
      </c>
      <c r="Q8" s="4">
        <v>25722.6733333333</v>
      </c>
      <c r="R8" s="4">
        <v>0.25449749914515601</v>
      </c>
      <c r="S8" s="4">
        <v>315.45966267017002</v>
      </c>
      <c r="T8" s="2">
        <v>365.39333333333298</v>
      </c>
      <c r="U8" s="2">
        <v>28.863995273731099</v>
      </c>
      <c r="V8" s="2">
        <v>203.35669506273601</v>
      </c>
      <c r="W8" s="4">
        <v>4176.6666666666697</v>
      </c>
      <c r="X8" s="4">
        <v>4.6259125275295698</v>
      </c>
      <c r="Y8" s="4">
        <v>199.59413688896399</v>
      </c>
      <c r="Z8" s="2">
        <v>322148.24666666699</v>
      </c>
      <c r="AA8" s="2">
        <v>0.115338421219468</v>
      </c>
      <c r="AB8" s="2">
        <v>187.38070657484801</v>
      </c>
      <c r="AC8" s="4">
        <v>146544.51666666701</v>
      </c>
      <c r="AD8" s="4">
        <v>0.59679956486099495</v>
      </c>
      <c r="AE8" s="4">
        <v>188.62770109880401</v>
      </c>
      <c r="AF8" s="2">
        <v>985758.79666666698</v>
      </c>
      <c r="AG8" s="2">
        <v>0.62954968131997902</v>
      </c>
      <c r="AH8" s="2">
        <v>190.24445870814401</v>
      </c>
      <c r="AI8" s="4">
        <v>612727.40666666697</v>
      </c>
      <c r="AJ8" s="4">
        <v>0.36063610556418302</v>
      </c>
      <c r="AK8" s="4">
        <v>188.12812526184899</v>
      </c>
      <c r="AL8" s="2">
        <v>174928.96666666699</v>
      </c>
      <c r="AM8" s="2">
        <v>0.14735017553017199</v>
      </c>
      <c r="AN8" s="2">
        <v>188.9190490746</v>
      </c>
      <c r="AO8" s="4">
        <v>493894.57</v>
      </c>
      <c r="AP8" s="4">
        <v>0.55340471034938599</v>
      </c>
      <c r="AQ8" s="4">
        <v>190.762004824044</v>
      </c>
      <c r="AR8" s="2">
        <v>70653.446666666699</v>
      </c>
      <c r="AS8" s="2">
        <v>0.578028496671387</v>
      </c>
      <c r="AT8" s="2">
        <v>199.587829160328</v>
      </c>
      <c r="AU8" s="4">
        <v>73022.973333333299</v>
      </c>
      <c r="AV8" s="4">
        <v>0.89808526142971901</v>
      </c>
      <c r="AW8" s="4">
        <v>188.637149562876</v>
      </c>
      <c r="AX8" s="2">
        <v>911587.47</v>
      </c>
      <c r="AY8" s="2">
        <v>0.20661454081901101</v>
      </c>
      <c r="AZ8" s="2">
        <v>195.29095324893299</v>
      </c>
      <c r="BA8" s="4">
        <v>105079.14333333301</v>
      </c>
      <c r="BB8" s="4">
        <v>0.77924035746126596</v>
      </c>
      <c r="BC8" s="4">
        <v>187.436487128224</v>
      </c>
      <c r="BD8" s="2">
        <v>72821.933333333305</v>
      </c>
      <c r="BE8" s="2">
        <v>0.45587786570625899</v>
      </c>
      <c r="BF8" s="2">
        <v>189.76994732072001</v>
      </c>
      <c r="BG8" s="4">
        <v>1331201.63666667</v>
      </c>
      <c r="BH8" s="4">
        <v>0.490065377975199</v>
      </c>
      <c r="BI8" s="4">
        <v>188.07545117842099</v>
      </c>
      <c r="BJ8" s="2">
        <v>200937.243333333</v>
      </c>
      <c r="BK8" s="2">
        <v>0.44124003865265998</v>
      </c>
      <c r="BL8" s="4">
        <v>16423.080000000002</v>
      </c>
      <c r="BM8" s="4">
        <v>1.5737102949635</v>
      </c>
      <c r="BN8" s="2">
        <v>889941.20666666701</v>
      </c>
      <c r="BO8" s="2">
        <v>0.32276933881889402</v>
      </c>
      <c r="BP8" s="4">
        <v>90865.396666666697</v>
      </c>
      <c r="BQ8" s="4">
        <v>0.85078657883292597</v>
      </c>
      <c r="BR8" s="2">
        <v>474185.73666666698</v>
      </c>
      <c r="BS8" s="2">
        <v>0.552179704219946</v>
      </c>
      <c r="BT8" s="4">
        <v>549541.55333333299</v>
      </c>
      <c r="BU8" s="4">
        <v>0.43514329136338498</v>
      </c>
    </row>
    <row r="9" spans="1:73" x14ac:dyDescent="0.35">
      <c r="A9" s="5"/>
      <c r="B9" s="5" t="b">
        <v>0</v>
      </c>
      <c r="C9" s="5" t="s">
        <v>55</v>
      </c>
      <c r="D9" s="6">
        <v>46232.645983796298</v>
      </c>
      <c r="E9" s="3" t="s">
        <v>65</v>
      </c>
      <c r="F9" s="4" t="s">
        <v>111</v>
      </c>
      <c r="G9" s="5" t="s">
        <v>61</v>
      </c>
      <c r="H9" s="2">
        <v>128662.433333333</v>
      </c>
      <c r="I9" s="2">
        <v>0.59246525835488995</v>
      </c>
      <c r="J9" s="2">
        <v>448.415922195316</v>
      </c>
      <c r="K9" s="4">
        <v>64283.47</v>
      </c>
      <c r="L9" s="4">
        <v>0.43579705759738002</v>
      </c>
      <c r="M9" s="4">
        <v>501.003510034751</v>
      </c>
      <c r="N9" s="2">
        <v>19807.22</v>
      </c>
      <c r="O9" s="2">
        <v>8.9109264116898304E-2</v>
      </c>
      <c r="P9" s="2">
        <v>501.65336392746201</v>
      </c>
      <c r="Q9" s="4">
        <v>35379.333333333299</v>
      </c>
      <c r="R9" s="4">
        <v>1.21948142440642</v>
      </c>
      <c r="S9" s="4">
        <v>455.53195938767902</v>
      </c>
      <c r="T9" s="2">
        <v>864.27333333333297</v>
      </c>
      <c r="U9" s="2">
        <v>6.1380324102726203</v>
      </c>
      <c r="V9" s="2">
        <v>495.68780396343197</v>
      </c>
      <c r="W9" s="4">
        <v>8766.8700000000008</v>
      </c>
      <c r="X9" s="4">
        <v>2.58815687984622</v>
      </c>
      <c r="Y9" s="4">
        <v>498.95523352578499</v>
      </c>
      <c r="Z9" s="2">
        <v>864725.19666666701</v>
      </c>
      <c r="AA9" s="2">
        <v>0.46091037755341802</v>
      </c>
      <c r="AB9" s="2">
        <v>503.04787670974702</v>
      </c>
      <c r="AC9" s="4">
        <v>390194.42666666699</v>
      </c>
      <c r="AD9" s="4">
        <v>0.43260012759316502</v>
      </c>
      <c r="AE9" s="4">
        <v>502.32869240579402</v>
      </c>
      <c r="AF9" s="2">
        <v>2596384.7566666701</v>
      </c>
      <c r="AG9" s="2">
        <v>0.18196995265992</v>
      </c>
      <c r="AH9" s="2">
        <v>501.92692300509299</v>
      </c>
      <c r="AI9" s="4">
        <v>1637255.74</v>
      </c>
      <c r="AJ9" s="4">
        <v>0.54303008450148005</v>
      </c>
      <c r="AK9" s="4">
        <v>502.70254452179802</v>
      </c>
      <c r="AL9" s="2">
        <v>465123.686666667</v>
      </c>
      <c r="AM9" s="2">
        <v>0.27308399497149199</v>
      </c>
      <c r="AN9" s="2">
        <v>502.426973843437</v>
      </c>
      <c r="AO9" s="4">
        <v>1298013.4866666701</v>
      </c>
      <c r="AP9" s="4">
        <v>0.197579106241594</v>
      </c>
      <c r="AQ9" s="4">
        <v>501.49002055090898</v>
      </c>
      <c r="AR9" s="2">
        <v>175588.91333333301</v>
      </c>
      <c r="AS9" s="2">
        <v>0.95121525332226098</v>
      </c>
      <c r="AT9" s="2">
        <v>498.567188864103</v>
      </c>
      <c r="AU9" s="4">
        <v>194427.92333333299</v>
      </c>
      <c r="AV9" s="4">
        <v>0.50538401101540298</v>
      </c>
      <c r="AW9" s="4">
        <v>502.26457971543101</v>
      </c>
      <c r="AX9" s="2">
        <v>2332021.13666667</v>
      </c>
      <c r="AY9" s="2">
        <v>0.19615572964929201</v>
      </c>
      <c r="AZ9" s="2">
        <v>499.60458175384701</v>
      </c>
      <c r="BA9" s="4">
        <v>281990.37</v>
      </c>
      <c r="BB9" s="4">
        <v>0.68938890456714796</v>
      </c>
      <c r="BC9" s="4">
        <v>503.00452287777102</v>
      </c>
      <c r="BD9" s="2">
        <v>192626.37</v>
      </c>
      <c r="BE9" s="2">
        <v>0.70395488924604599</v>
      </c>
      <c r="BF9" s="2">
        <v>502.00948440468898</v>
      </c>
      <c r="BG9" s="4">
        <v>3561030.7233333299</v>
      </c>
      <c r="BH9" s="4">
        <v>0.66851237474618597</v>
      </c>
      <c r="BI9" s="4">
        <v>503.21192482348999</v>
      </c>
      <c r="BJ9" s="2">
        <v>199569.37</v>
      </c>
      <c r="BK9" s="2">
        <v>0.56602256799295803</v>
      </c>
      <c r="BL9" s="4">
        <v>16722.099999999999</v>
      </c>
      <c r="BM9" s="4">
        <v>1.7724330168999001</v>
      </c>
      <c r="BN9" s="2">
        <v>883626.16666666698</v>
      </c>
      <c r="BO9" s="2">
        <v>0.56132318203011899</v>
      </c>
      <c r="BP9" s="4">
        <v>90744.59</v>
      </c>
      <c r="BQ9" s="4">
        <v>0.54762131893370103</v>
      </c>
      <c r="BR9" s="2">
        <v>464885.44666666701</v>
      </c>
      <c r="BS9" s="2">
        <v>0.26560020394600697</v>
      </c>
      <c r="BT9" s="4">
        <v>541795.13</v>
      </c>
      <c r="BU9" s="4">
        <v>0.68315029739505195</v>
      </c>
    </row>
    <row r="10" spans="1:73" x14ac:dyDescent="0.35">
      <c r="A10" s="5"/>
      <c r="B10" s="5" t="b">
        <v>0</v>
      </c>
      <c r="C10" s="5" t="s">
        <v>7</v>
      </c>
      <c r="D10" s="6">
        <v>46232.649074074099</v>
      </c>
      <c r="E10" s="3" t="s">
        <v>24</v>
      </c>
      <c r="F10" s="4" t="s">
        <v>105</v>
      </c>
      <c r="G10" s="5" t="s">
        <v>20</v>
      </c>
      <c r="H10" s="2">
        <v>4946.0166666666701</v>
      </c>
      <c r="I10" s="2">
        <v>2.9827596420159801</v>
      </c>
      <c r="J10" s="2">
        <v>7.1957140129408996</v>
      </c>
      <c r="K10" s="4">
        <v>73.41</v>
      </c>
      <c r="L10" s="4">
        <v>20.836375334199602</v>
      </c>
      <c r="M10" s="4" t="s">
        <v>29</v>
      </c>
      <c r="N10" s="2">
        <v>11.68</v>
      </c>
      <c r="O10" s="2">
        <v>24.764767539726201</v>
      </c>
      <c r="P10" s="2" t="s">
        <v>29</v>
      </c>
      <c r="Q10" s="4">
        <v>4608.90333333333</v>
      </c>
      <c r="R10" s="4">
        <v>2.39562365887027</v>
      </c>
      <c r="S10" s="4">
        <v>9.1990864186247805</v>
      </c>
      <c r="T10" s="2">
        <v>5.0066666666666704</v>
      </c>
      <c r="U10" s="2">
        <v>99.966727679775602</v>
      </c>
      <c r="V10" s="2" t="s">
        <v>29</v>
      </c>
      <c r="W10" s="4">
        <v>805.87666666666701</v>
      </c>
      <c r="X10" s="4">
        <v>7.63210060190272</v>
      </c>
      <c r="Y10" s="4" t="s">
        <v>29</v>
      </c>
      <c r="Z10" s="2">
        <v>198.54333333333301</v>
      </c>
      <c r="AA10" s="2">
        <v>8.8541654968034393</v>
      </c>
      <c r="AB10" s="2">
        <v>7.2801627903434293E-2</v>
      </c>
      <c r="AC10" s="4">
        <v>26.696666666666701</v>
      </c>
      <c r="AD10" s="4">
        <v>10.8131527504612</v>
      </c>
      <c r="AE10" s="4" t="s">
        <v>29</v>
      </c>
      <c r="AF10" s="2">
        <v>4278.4733333333297</v>
      </c>
      <c r="AG10" s="2">
        <v>1.55831034072485</v>
      </c>
      <c r="AH10" s="2">
        <v>0.31196448987161102</v>
      </c>
      <c r="AI10" s="4">
        <v>18.356666666666701</v>
      </c>
      <c r="AJ10" s="4">
        <v>83.296863458340198</v>
      </c>
      <c r="AK10" s="4">
        <v>1.02347720742941E-6</v>
      </c>
      <c r="AL10" s="2">
        <v>80.086666666666702</v>
      </c>
      <c r="AM10" s="2">
        <v>27.242283091544099</v>
      </c>
      <c r="AN10" s="2">
        <v>2.3436098060819099E-2</v>
      </c>
      <c r="AO10" s="4">
        <v>552.26</v>
      </c>
      <c r="AP10" s="4">
        <v>8.4208600409531709</v>
      </c>
      <c r="AQ10" s="4">
        <v>0.12443383408898299</v>
      </c>
      <c r="AR10" s="2">
        <v>1384.85666666667</v>
      </c>
      <c r="AS10" s="2">
        <v>4.9077628096721604</v>
      </c>
      <c r="AT10" s="2">
        <v>2.2295922968141002</v>
      </c>
      <c r="AU10" s="4">
        <v>8.3433333333333302</v>
      </c>
      <c r="AV10" s="4">
        <v>34.599496755271197</v>
      </c>
      <c r="AW10" s="4">
        <v>1.7239333189336299E-2</v>
      </c>
      <c r="AX10" s="2">
        <v>806.33</v>
      </c>
      <c r="AY10" s="2">
        <v>6.6278883883347604</v>
      </c>
      <c r="AZ10" s="2">
        <v>0.165253266292503</v>
      </c>
      <c r="BA10" s="4">
        <v>15.02</v>
      </c>
      <c r="BB10" s="4">
        <v>0</v>
      </c>
      <c r="BC10" s="4">
        <v>2.6792148730554601E-2</v>
      </c>
      <c r="BD10" s="2">
        <v>8.3433333333333302</v>
      </c>
      <c r="BE10" s="2">
        <v>124.865418167136</v>
      </c>
      <c r="BF10" s="2" t="s">
        <v>29</v>
      </c>
      <c r="BG10" s="4">
        <v>660.71666666666704</v>
      </c>
      <c r="BH10" s="4">
        <v>3.4716807925747499</v>
      </c>
      <c r="BI10" s="4">
        <v>3.3248268568266903E-2</v>
      </c>
      <c r="BJ10" s="2">
        <v>221959.006666667</v>
      </c>
      <c r="BK10" s="2">
        <v>1.4526975348261999</v>
      </c>
      <c r="BL10" s="4">
        <v>18775.023333333302</v>
      </c>
      <c r="BM10" s="4">
        <v>2.49848756258337</v>
      </c>
      <c r="BN10" s="2">
        <v>954341.75666666694</v>
      </c>
      <c r="BO10" s="2">
        <v>0.173653147717793</v>
      </c>
      <c r="BP10" s="4">
        <v>94803.286666666696</v>
      </c>
      <c r="BQ10" s="4">
        <v>1.0091703283568101</v>
      </c>
      <c r="BR10" s="2">
        <v>475559.32333333301</v>
      </c>
      <c r="BS10" s="2">
        <v>0.85272319893064097</v>
      </c>
      <c r="BT10" s="4">
        <v>561403.74333333306</v>
      </c>
      <c r="BU10" s="4">
        <v>0.90321869524462794</v>
      </c>
    </row>
    <row r="11" spans="1:73" x14ac:dyDescent="0.35">
      <c r="A11" s="5"/>
      <c r="B11" s="5" t="b">
        <v>0</v>
      </c>
      <c r="C11" s="5" t="s">
        <v>112</v>
      </c>
      <c r="D11" s="6">
        <v>46232.652152777802</v>
      </c>
      <c r="E11" s="3" t="s">
        <v>24</v>
      </c>
      <c r="F11" s="4" t="s">
        <v>105</v>
      </c>
      <c r="G11" s="5" t="s">
        <v>73</v>
      </c>
      <c r="H11" s="2">
        <v>14462.15</v>
      </c>
      <c r="I11" s="2">
        <v>2.3255174356129902</v>
      </c>
      <c r="J11" s="2">
        <v>41.1338965399801</v>
      </c>
      <c r="K11" s="4">
        <v>1401.5433333333301</v>
      </c>
      <c r="L11" s="4">
        <v>5.3932269445049297</v>
      </c>
      <c r="M11" s="4">
        <v>8.7640416324544699</v>
      </c>
      <c r="N11" s="2">
        <v>308.66666666666703</v>
      </c>
      <c r="O11" s="2">
        <v>21.595748124657799</v>
      </c>
      <c r="P11" s="2">
        <v>6.6500380311229597</v>
      </c>
      <c r="Q11" s="4">
        <v>17109.563333333299</v>
      </c>
      <c r="R11" s="4">
        <v>0.88692384208772301</v>
      </c>
      <c r="S11" s="4">
        <v>190.524322751342</v>
      </c>
      <c r="T11" s="2">
        <v>38.373333333333299</v>
      </c>
      <c r="U11" s="2">
        <v>52.711226085302002</v>
      </c>
      <c r="V11" s="2">
        <v>11.731215523155701</v>
      </c>
      <c r="W11" s="4">
        <v>1426.57</v>
      </c>
      <c r="X11" s="4">
        <v>2.1338554141215198</v>
      </c>
      <c r="Y11" s="4">
        <v>20.2400006544914</v>
      </c>
      <c r="Z11" s="2">
        <v>301.99</v>
      </c>
      <c r="AA11" s="2">
        <v>6.6981950647009096</v>
      </c>
      <c r="AB11" s="2">
        <v>0.13298611699121199</v>
      </c>
      <c r="AC11" s="4">
        <v>103.443333333333</v>
      </c>
      <c r="AD11" s="4">
        <v>42.274602172683402</v>
      </c>
      <c r="AE11" s="4">
        <v>8.3778087602600804E-2</v>
      </c>
      <c r="AF11" s="2">
        <v>35699.333333333299</v>
      </c>
      <c r="AG11" s="2">
        <v>2.4536184335711702</v>
      </c>
      <c r="AH11" s="2">
        <v>6.3924147733933196</v>
      </c>
      <c r="AI11" s="4">
        <v>30.033333333333299</v>
      </c>
      <c r="AJ11" s="4">
        <v>76.360519152772895</v>
      </c>
      <c r="AK11" s="4">
        <v>3.5862641348355798E-3</v>
      </c>
      <c r="AL11" s="2">
        <v>66.733333333333306</v>
      </c>
      <c r="AM11" s="2">
        <v>17.320508075688899</v>
      </c>
      <c r="AN11" s="2">
        <v>9.0100057388090692E-3</v>
      </c>
      <c r="AO11" s="4">
        <v>33565.536666666703</v>
      </c>
      <c r="AP11" s="4">
        <v>1.8516901178566101</v>
      </c>
      <c r="AQ11" s="4">
        <v>12.8814399667126</v>
      </c>
      <c r="AR11" s="2">
        <v>4815.8599999999997</v>
      </c>
      <c r="AS11" s="2">
        <v>2.7270678382553601</v>
      </c>
      <c r="AT11" s="2">
        <v>12.0051163624765</v>
      </c>
      <c r="AU11" s="4">
        <v>5.0066666666666704</v>
      </c>
      <c r="AV11" s="4">
        <v>99.966727679775602</v>
      </c>
      <c r="AW11" s="4">
        <v>8.61966659466816E-3</v>
      </c>
      <c r="AX11" s="2">
        <v>18632.333333333299</v>
      </c>
      <c r="AY11" s="2">
        <v>1.9296975884679599</v>
      </c>
      <c r="AZ11" s="2">
        <v>3.98429521341665</v>
      </c>
      <c r="BA11" s="4">
        <v>6.6766666666666703</v>
      </c>
      <c r="BB11" s="4">
        <v>114.53988312768401</v>
      </c>
      <c r="BC11" s="4">
        <v>1.1909603619019301E-2</v>
      </c>
      <c r="BD11" s="2">
        <v>43.38</v>
      </c>
      <c r="BE11" s="2">
        <v>29.041700245378401</v>
      </c>
      <c r="BF11" s="2">
        <v>9.1314085565990799E-2</v>
      </c>
      <c r="BG11" s="4">
        <v>7740.4366666666701</v>
      </c>
      <c r="BH11" s="4">
        <v>2.2883810739780399</v>
      </c>
      <c r="BI11" s="4">
        <v>1.0338083601624</v>
      </c>
      <c r="BJ11" s="2">
        <v>222214.58</v>
      </c>
      <c r="BK11" s="2">
        <v>0.55177176891864199</v>
      </c>
      <c r="BL11" s="4">
        <v>18519.47</v>
      </c>
      <c r="BM11" s="4">
        <v>2.30940485987986</v>
      </c>
      <c r="BN11" s="2">
        <v>959272.89666666696</v>
      </c>
      <c r="BO11" s="2">
        <v>0.54074299996105302</v>
      </c>
      <c r="BP11" s="4">
        <v>93393.126666666707</v>
      </c>
      <c r="BQ11" s="4">
        <v>0.98501123710056204</v>
      </c>
      <c r="BR11" s="2">
        <v>476441.05</v>
      </c>
      <c r="BS11" s="2">
        <v>0.54556683921459304</v>
      </c>
      <c r="BT11" s="4">
        <v>556827.31999999995</v>
      </c>
      <c r="BU11" s="4">
        <v>0.11350214303087</v>
      </c>
    </row>
    <row r="12" spans="1:73" x14ac:dyDescent="0.35">
      <c r="A12" s="5"/>
      <c r="B12" s="5" t="b">
        <v>0</v>
      </c>
      <c r="C12" s="5" t="s">
        <v>75</v>
      </c>
      <c r="D12" s="6">
        <v>46232.6551736111</v>
      </c>
      <c r="E12" s="3" t="s">
        <v>24</v>
      </c>
      <c r="F12" s="4" t="s">
        <v>105</v>
      </c>
      <c r="G12" s="5" t="s">
        <v>48</v>
      </c>
      <c r="H12" s="2">
        <v>18293.7366666667</v>
      </c>
      <c r="I12" s="2">
        <v>0.77706016629608399</v>
      </c>
      <c r="J12" s="2">
        <v>54.798804660382999</v>
      </c>
      <c r="K12" s="4">
        <v>1610.11333333333</v>
      </c>
      <c r="L12" s="4">
        <v>7.1523518072529004</v>
      </c>
      <c r="M12" s="4">
        <v>10.396726751485501</v>
      </c>
      <c r="N12" s="2">
        <v>1284.7433333333299</v>
      </c>
      <c r="O12" s="2">
        <v>11.6521649409933</v>
      </c>
      <c r="P12" s="2">
        <v>31.429373609000699</v>
      </c>
      <c r="Q12" s="4">
        <v>17547.153333333299</v>
      </c>
      <c r="R12" s="4">
        <v>1.73299456366324</v>
      </c>
      <c r="S12" s="4">
        <v>196.871676424415</v>
      </c>
      <c r="T12" s="2">
        <v>28.363333333333301</v>
      </c>
      <c r="U12" s="2">
        <v>50.949855110411299</v>
      </c>
      <c r="V12" s="2">
        <v>5.8656077615778699</v>
      </c>
      <c r="W12" s="4">
        <v>1353.1466666666699</v>
      </c>
      <c r="X12" s="4">
        <v>9.2134416494744507</v>
      </c>
      <c r="Y12" s="4">
        <v>15.451522238779001</v>
      </c>
      <c r="Z12" s="2">
        <v>360.386666666667</v>
      </c>
      <c r="AA12" s="2">
        <v>8.6731887266832306</v>
      </c>
      <c r="AB12" s="2">
        <v>0.16696085644886399</v>
      </c>
      <c r="AC12" s="4">
        <v>198.54</v>
      </c>
      <c r="AD12" s="4">
        <v>11.368682544394799</v>
      </c>
      <c r="AE12" s="4">
        <v>0.20621572200732399</v>
      </c>
      <c r="AF12" s="2">
        <v>114673.493333333</v>
      </c>
      <c r="AG12" s="2">
        <v>0.538613076700027</v>
      </c>
      <c r="AH12" s="2">
        <v>21.675206318974499</v>
      </c>
      <c r="AI12" s="4">
        <v>70.073333333333295</v>
      </c>
      <c r="AJ12" s="4">
        <v>25.756670610460599</v>
      </c>
      <c r="AK12" s="4">
        <v>1.5880272350487699E-2</v>
      </c>
      <c r="AL12" s="2">
        <v>191.87</v>
      </c>
      <c r="AM12" s="2">
        <v>32.616726837369796</v>
      </c>
      <c r="AN12" s="2">
        <v>0.14419970415632799</v>
      </c>
      <c r="AO12" s="4">
        <v>89754.376666666707</v>
      </c>
      <c r="AP12" s="4">
        <v>0.442947982031974</v>
      </c>
      <c r="AQ12" s="4">
        <v>34.5939583484084</v>
      </c>
      <c r="AR12" s="2">
        <v>2566.2566666666698</v>
      </c>
      <c r="AS12" s="2">
        <v>5.6883838336774604</v>
      </c>
      <c r="AT12" s="2">
        <v>5.5956059695415901</v>
      </c>
      <c r="AU12" s="4">
        <v>11.68</v>
      </c>
      <c r="AV12" s="4">
        <v>65.437344513301596</v>
      </c>
      <c r="AW12" s="4">
        <v>2.5858999784004501E-2</v>
      </c>
      <c r="AX12" s="2">
        <v>4727.0133333333297</v>
      </c>
      <c r="AY12" s="2">
        <v>2.7795283442811498</v>
      </c>
      <c r="AZ12" s="2">
        <v>1.0052202421424199</v>
      </c>
      <c r="BA12" s="4">
        <v>6.6766666666666703</v>
      </c>
      <c r="BB12" s="4">
        <v>114.53988312768401</v>
      </c>
      <c r="BC12" s="4">
        <v>1.1909603619019301E-2</v>
      </c>
      <c r="BD12" s="2">
        <v>45.05</v>
      </c>
      <c r="BE12" s="2">
        <v>44.4395116537181</v>
      </c>
      <c r="BF12" s="2">
        <v>9.56665122493284E-2</v>
      </c>
      <c r="BG12" s="4">
        <v>2442.81</v>
      </c>
      <c r="BH12" s="4">
        <v>0.615070451480078</v>
      </c>
      <c r="BI12" s="4">
        <v>0.28510730661345701</v>
      </c>
      <c r="BJ12" s="2">
        <v>216319.91333333301</v>
      </c>
      <c r="BK12" s="2">
        <v>0.67760836459676099</v>
      </c>
      <c r="BL12" s="4">
        <v>18136.926666666699</v>
      </c>
      <c r="BM12" s="4">
        <v>1.08643757634918</v>
      </c>
      <c r="BN12" s="2">
        <v>947443.87666666706</v>
      </c>
      <c r="BO12" s="2">
        <v>0.22624630429425199</v>
      </c>
      <c r="BP12" s="4">
        <v>94353.346666666694</v>
      </c>
      <c r="BQ12" s="4">
        <v>0.67738659304860205</v>
      </c>
      <c r="BR12" s="2">
        <v>473300.13333333301</v>
      </c>
      <c r="BS12" s="2">
        <v>0.70860113555551996</v>
      </c>
      <c r="BT12" s="4">
        <v>554127.14333333296</v>
      </c>
      <c r="BU12" s="4">
        <v>0.38327971344849998</v>
      </c>
    </row>
    <row r="13" spans="1:73" x14ac:dyDescent="0.35">
      <c r="A13" s="5"/>
      <c r="B13" s="5" t="b">
        <v>0</v>
      </c>
      <c r="C13" s="5" t="s">
        <v>5</v>
      </c>
      <c r="D13" s="6">
        <v>46232.658240740697</v>
      </c>
      <c r="E13" s="3" t="s">
        <v>24</v>
      </c>
      <c r="F13" s="4" t="s">
        <v>105</v>
      </c>
      <c r="G13" s="5" t="s">
        <v>36</v>
      </c>
      <c r="H13" s="2">
        <v>14487.19</v>
      </c>
      <c r="I13" s="2">
        <v>2.1842570135962598</v>
      </c>
      <c r="J13" s="2">
        <v>41.223198787091398</v>
      </c>
      <c r="K13" s="4">
        <v>1504.9966666666701</v>
      </c>
      <c r="L13" s="4">
        <v>3.8261227836244598</v>
      </c>
      <c r="M13" s="4">
        <v>9.5738739086566493</v>
      </c>
      <c r="N13" s="2">
        <v>515.55666666666696</v>
      </c>
      <c r="O13" s="2">
        <v>14.303802384112</v>
      </c>
      <c r="P13" s="2">
        <v>11.9022860489089</v>
      </c>
      <c r="Q13" s="4">
        <v>15300.62</v>
      </c>
      <c r="R13" s="4">
        <v>1.8368118706694101</v>
      </c>
      <c r="S13" s="4">
        <v>164.285141985754</v>
      </c>
      <c r="T13" s="2">
        <v>40.043333333333301</v>
      </c>
      <c r="U13" s="2">
        <v>12.4989615395841</v>
      </c>
      <c r="V13" s="2">
        <v>12.709793441421001</v>
      </c>
      <c r="W13" s="4">
        <v>1344.81</v>
      </c>
      <c r="X13" s="4">
        <v>3.6154308521789198</v>
      </c>
      <c r="Y13" s="4">
        <v>14.9078265690239</v>
      </c>
      <c r="Z13" s="2">
        <v>250.26333333333301</v>
      </c>
      <c r="AA13" s="2">
        <v>19.286688322560401</v>
      </c>
      <c r="AB13" s="2">
        <v>0.102891933139174</v>
      </c>
      <c r="AC13" s="4">
        <v>128.47</v>
      </c>
      <c r="AD13" s="4">
        <v>13.6799326895351</v>
      </c>
      <c r="AE13" s="4">
        <v>0.116000098858188</v>
      </c>
      <c r="AF13" s="2">
        <v>53423.5566666667</v>
      </c>
      <c r="AG13" s="2">
        <v>1.6865270997535899</v>
      </c>
      <c r="AH13" s="2">
        <v>9.8223418598056291</v>
      </c>
      <c r="AI13" s="4">
        <v>16.686666666666699</v>
      </c>
      <c r="AJ13" s="4">
        <v>96.423459030158298</v>
      </c>
      <c r="AK13" s="4" t="s">
        <v>29</v>
      </c>
      <c r="AL13" s="2">
        <v>90.096666666666707</v>
      </c>
      <c r="AM13" s="2">
        <v>22.2261277236375</v>
      </c>
      <c r="AN13" s="2">
        <v>3.4250265620229099E-2</v>
      </c>
      <c r="AO13" s="4">
        <v>47980.893333333297</v>
      </c>
      <c r="AP13" s="4">
        <v>0.40312099642649002</v>
      </c>
      <c r="AQ13" s="4">
        <v>18.451828972851601</v>
      </c>
      <c r="AR13" s="2">
        <v>4076.52</v>
      </c>
      <c r="AS13" s="2">
        <v>2.9482923811220498</v>
      </c>
      <c r="AT13" s="2">
        <v>9.8986083645128193</v>
      </c>
      <c r="AU13" s="4">
        <v>8.3466666666666693</v>
      </c>
      <c r="AV13" s="4">
        <v>69.240529487877197</v>
      </c>
      <c r="AW13" s="4">
        <v>1.7247944244875399E-2</v>
      </c>
      <c r="AX13" s="2">
        <v>13657.13</v>
      </c>
      <c r="AY13" s="2">
        <v>2.1677524076070198</v>
      </c>
      <c r="AZ13" s="2">
        <v>2.9184079323376499</v>
      </c>
      <c r="BA13" s="4">
        <v>1.67</v>
      </c>
      <c r="BB13" s="4">
        <v>173.20508075688801</v>
      </c>
      <c r="BC13" s="4">
        <v>2.9788873755010798E-3</v>
      </c>
      <c r="BD13" s="2">
        <v>50.053333333333299</v>
      </c>
      <c r="BE13" s="2">
        <v>9.9993357069141702</v>
      </c>
      <c r="BF13" s="2">
        <v>0.108706417342521</v>
      </c>
      <c r="BG13" s="4">
        <v>7281.34666666667</v>
      </c>
      <c r="BH13" s="4">
        <v>2.3386397930564602</v>
      </c>
      <c r="BI13" s="4">
        <v>0.96892625572183699</v>
      </c>
      <c r="BJ13" s="2">
        <v>217254.82</v>
      </c>
      <c r="BK13" s="2">
        <v>0.74268811772682697</v>
      </c>
      <c r="BL13" s="4">
        <v>18160.28</v>
      </c>
      <c r="BM13" s="4">
        <v>2.1573165562835901</v>
      </c>
      <c r="BN13" s="2">
        <v>948756.75666666694</v>
      </c>
      <c r="BO13" s="2">
        <v>0.56003841842325497</v>
      </c>
      <c r="BP13" s="4">
        <v>93404.406666666706</v>
      </c>
      <c r="BQ13" s="4">
        <v>0.39017410788742701</v>
      </c>
      <c r="BR13" s="2">
        <v>473395.16333333298</v>
      </c>
      <c r="BS13" s="2">
        <v>0.65446708542506504</v>
      </c>
      <c r="BT13" s="4">
        <v>552434.78</v>
      </c>
      <c r="BU13" s="4">
        <v>0.76007808849650205</v>
      </c>
    </row>
    <row r="14" spans="1:73" x14ac:dyDescent="0.35">
      <c r="A14" s="5"/>
      <c r="B14" s="5" t="b">
        <v>0</v>
      </c>
      <c r="C14" s="5" t="s">
        <v>71</v>
      </c>
      <c r="D14" s="6">
        <v>46232.661249999997</v>
      </c>
      <c r="E14" s="3" t="s">
        <v>24</v>
      </c>
      <c r="F14" s="4" t="s">
        <v>105</v>
      </c>
      <c r="G14" s="5" t="s">
        <v>32</v>
      </c>
      <c r="H14" s="2">
        <v>18365.493333333299</v>
      </c>
      <c r="I14" s="2">
        <v>0.70172445253938598</v>
      </c>
      <c r="J14" s="2">
        <v>55.054716464638098</v>
      </c>
      <c r="K14" s="4">
        <v>1982.2233333333299</v>
      </c>
      <c r="L14" s="4">
        <v>3.71998630868729</v>
      </c>
      <c r="M14" s="4">
        <v>13.3096023311117</v>
      </c>
      <c r="N14" s="2">
        <v>745.80666666666696</v>
      </c>
      <c r="O14" s="2">
        <v>16.617948690395</v>
      </c>
      <c r="P14" s="2">
        <v>17.747566662255199</v>
      </c>
      <c r="Q14" s="4">
        <v>18275.606666666699</v>
      </c>
      <c r="R14" s="4">
        <v>1.0015064101748701</v>
      </c>
      <c r="S14" s="4">
        <v>207.43807634442101</v>
      </c>
      <c r="T14" s="2">
        <v>58.393333333333302</v>
      </c>
      <c r="U14" s="2">
        <v>13.0964371449223</v>
      </c>
      <c r="V14" s="2">
        <v>23.462431046311501</v>
      </c>
      <c r="W14" s="4">
        <v>1561.73</v>
      </c>
      <c r="X14" s="4">
        <v>8.7251715771185001</v>
      </c>
      <c r="Y14" s="4">
        <v>29.054783548226499</v>
      </c>
      <c r="Z14" s="2">
        <v>288.64</v>
      </c>
      <c r="AA14" s="2">
        <v>9.5492550318349494</v>
      </c>
      <c r="AB14" s="2">
        <v>0.12521918785553701</v>
      </c>
      <c r="AC14" s="4">
        <v>165.17333333333301</v>
      </c>
      <c r="AD14" s="4">
        <v>10.927040877726601</v>
      </c>
      <c r="AE14" s="4">
        <v>0.16325590146011701</v>
      </c>
      <c r="AF14" s="2">
        <v>60940.686666666697</v>
      </c>
      <c r="AG14" s="2">
        <v>0.29674006374427597</v>
      </c>
      <c r="AH14" s="2">
        <v>11.277029453963401</v>
      </c>
      <c r="AI14" s="4">
        <v>33.369999999999997</v>
      </c>
      <c r="AJ14" s="4">
        <v>67.639743253346097</v>
      </c>
      <c r="AK14" s="4">
        <v>4.6107648194732599E-3</v>
      </c>
      <c r="AL14" s="2">
        <v>136.81</v>
      </c>
      <c r="AM14" s="2">
        <v>5.5866397479379897</v>
      </c>
      <c r="AN14" s="2">
        <v>8.4716380897475393E-2</v>
      </c>
      <c r="AO14" s="4">
        <v>49403.7366666667</v>
      </c>
      <c r="AP14" s="4">
        <v>0.91262393707286604</v>
      </c>
      <c r="AQ14" s="4">
        <v>19.001644773093599</v>
      </c>
      <c r="AR14" s="2">
        <v>2950.07</v>
      </c>
      <c r="AS14" s="2">
        <v>5.4892926429575599</v>
      </c>
      <c r="AT14" s="2">
        <v>6.6891567802535601</v>
      </c>
      <c r="AU14" s="4">
        <v>5.0066666666666704</v>
      </c>
      <c r="AV14" s="4">
        <v>99.966727679775602</v>
      </c>
      <c r="AW14" s="4">
        <v>8.61966659466816E-3</v>
      </c>
      <c r="AX14" s="2">
        <v>31213.84</v>
      </c>
      <c r="AY14" s="2">
        <v>2.8606111903784499</v>
      </c>
      <c r="AZ14" s="2">
        <v>6.67975649094112</v>
      </c>
      <c r="BA14" s="4">
        <v>1.67</v>
      </c>
      <c r="BB14" s="4">
        <v>173.20508075688801</v>
      </c>
      <c r="BC14" s="4">
        <v>2.9788873755010798E-3</v>
      </c>
      <c r="BD14" s="2">
        <v>55.0566666666667</v>
      </c>
      <c r="BE14" s="2">
        <v>24.054989369778301</v>
      </c>
      <c r="BF14" s="2">
        <v>0.121746322435714</v>
      </c>
      <c r="BG14" s="4">
        <v>11296.743333333299</v>
      </c>
      <c r="BH14" s="4">
        <v>3.70060848208727</v>
      </c>
      <c r="BI14" s="4">
        <v>1.5364127744806</v>
      </c>
      <c r="BJ14" s="2">
        <v>217432.156666667</v>
      </c>
      <c r="BK14" s="2">
        <v>0.49254037389571398</v>
      </c>
      <c r="BL14" s="4">
        <v>17849.613333333298</v>
      </c>
      <c r="BM14" s="4">
        <v>1.46580934519116</v>
      </c>
      <c r="BN14" s="2">
        <v>947175.24666666705</v>
      </c>
      <c r="BO14" s="2">
        <v>0.22098828000814399</v>
      </c>
      <c r="BP14" s="4">
        <v>92515.853333333303</v>
      </c>
      <c r="BQ14" s="4">
        <v>1.3647254807723099</v>
      </c>
      <c r="BR14" s="2">
        <v>474453.25</v>
      </c>
      <c r="BS14" s="2">
        <v>0.51652060336915095</v>
      </c>
      <c r="BT14" s="4">
        <v>552267.75666666694</v>
      </c>
      <c r="BU14" s="4">
        <v>0.76640831828598599</v>
      </c>
    </row>
    <row r="15" spans="1:73" x14ac:dyDescent="0.35">
      <c r="A15" s="5"/>
      <c r="B15" s="5" t="b">
        <v>0</v>
      </c>
      <c r="C15" s="5" t="s">
        <v>22</v>
      </c>
      <c r="D15" s="6">
        <v>46232.664317129602</v>
      </c>
      <c r="E15" s="3" t="s">
        <v>24</v>
      </c>
      <c r="F15" s="4" t="s">
        <v>105</v>
      </c>
      <c r="G15" s="5" t="s">
        <v>59</v>
      </c>
      <c r="H15" s="2">
        <v>17059.356666666699</v>
      </c>
      <c r="I15" s="2">
        <v>1.7553417630508199</v>
      </c>
      <c r="J15" s="2">
        <v>50.3965319850954</v>
      </c>
      <c r="K15" s="4">
        <v>1663.5066666666701</v>
      </c>
      <c r="L15" s="4">
        <v>0.69465707298386903</v>
      </c>
      <c r="M15" s="4">
        <v>10.814689549533099</v>
      </c>
      <c r="N15" s="2">
        <v>613.993333333333</v>
      </c>
      <c r="O15" s="2">
        <v>6.5892931121553202</v>
      </c>
      <c r="P15" s="2">
        <v>14.4012651555717</v>
      </c>
      <c r="Q15" s="4">
        <v>16433.153333333299</v>
      </c>
      <c r="R15" s="4">
        <v>1.73444028428829</v>
      </c>
      <c r="S15" s="4">
        <v>180.71282454982199</v>
      </c>
      <c r="T15" s="2">
        <v>53.39</v>
      </c>
      <c r="U15" s="2">
        <v>42.276423157223498</v>
      </c>
      <c r="V15" s="2">
        <v>20.530603790191499</v>
      </c>
      <c r="W15" s="4">
        <v>1613.4566666666699</v>
      </c>
      <c r="X15" s="4">
        <v>2.5265630583329801</v>
      </c>
      <c r="Y15" s="4">
        <v>32.428261918182699</v>
      </c>
      <c r="Z15" s="2">
        <v>428.79333333333301</v>
      </c>
      <c r="AA15" s="2">
        <v>13.2755885018745</v>
      </c>
      <c r="AB15" s="2">
        <v>0.206759338277162</v>
      </c>
      <c r="AC15" s="4">
        <v>190.2</v>
      </c>
      <c r="AD15" s="4">
        <v>10.525762355415599</v>
      </c>
      <c r="AE15" s="4">
        <v>0.195477912715704</v>
      </c>
      <c r="AF15" s="2">
        <v>91851.213333333304</v>
      </c>
      <c r="AG15" s="2">
        <v>0.40393053972398701</v>
      </c>
      <c r="AH15" s="2">
        <v>17.258721891221299</v>
      </c>
      <c r="AI15" s="4">
        <v>31.703333333333301</v>
      </c>
      <c r="AJ15" s="4">
        <v>36.458476677036003</v>
      </c>
      <c r="AK15" s="4">
        <v>4.0990262157581297E-3</v>
      </c>
      <c r="AL15" s="2">
        <v>136.81333333333299</v>
      </c>
      <c r="AM15" s="2">
        <v>21.121026926913199</v>
      </c>
      <c r="AN15" s="2">
        <v>8.4719982018873805E-2</v>
      </c>
      <c r="AO15" s="4">
        <v>82494.14</v>
      </c>
      <c r="AP15" s="4">
        <v>0.66227668980988297</v>
      </c>
      <c r="AQ15" s="4">
        <v>31.788454229076802</v>
      </c>
      <c r="AR15" s="2">
        <v>4283.4533333333302</v>
      </c>
      <c r="AS15" s="2">
        <v>4.3201966763361197</v>
      </c>
      <c r="AT15" s="2">
        <v>10.488197351598499</v>
      </c>
      <c r="AU15" s="4">
        <v>1.67</v>
      </c>
      <c r="AV15" s="4">
        <v>173.20508075688801</v>
      </c>
      <c r="AW15" s="4">
        <v>0</v>
      </c>
      <c r="AX15" s="2">
        <v>45763.51</v>
      </c>
      <c r="AY15" s="2">
        <v>2.3685793611653199</v>
      </c>
      <c r="AZ15" s="2">
        <v>9.7968769698153508</v>
      </c>
      <c r="BA15" s="4">
        <v>1.67</v>
      </c>
      <c r="BB15" s="4">
        <v>173.20508075688801</v>
      </c>
      <c r="BC15" s="4">
        <v>2.9788873755010798E-3</v>
      </c>
      <c r="BD15" s="2">
        <v>43.376666666666701</v>
      </c>
      <c r="BE15" s="2">
        <v>26.646935501059701</v>
      </c>
      <c r="BF15" s="2">
        <v>9.1305398087580897E-2</v>
      </c>
      <c r="BG15" s="4">
        <v>11610.6266666667</v>
      </c>
      <c r="BH15" s="4">
        <v>3.8089506957955401</v>
      </c>
      <c r="BI15" s="4">
        <v>1.5807731639804501</v>
      </c>
      <c r="BJ15" s="2">
        <v>216784.98</v>
      </c>
      <c r="BK15" s="2">
        <v>0.73036011637049303</v>
      </c>
      <c r="BL15" s="4">
        <v>17908.0566666667</v>
      </c>
      <c r="BM15" s="4">
        <v>0.87020152046938304</v>
      </c>
      <c r="BN15" s="2">
        <v>949372.813333333</v>
      </c>
      <c r="BO15" s="2">
        <v>0.49498056400607898</v>
      </c>
      <c r="BP15" s="4">
        <v>92265.856666666703</v>
      </c>
      <c r="BQ15" s="4">
        <v>1.3448950982596899</v>
      </c>
      <c r="BR15" s="2">
        <v>472785.993333333</v>
      </c>
      <c r="BS15" s="2">
        <v>0.59750238501523101</v>
      </c>
      <c r="BT15" s="4">
        <v>550666.31000000006</v>
      </c>
      <c r="BU15" s="4">
        <v>0.232952528399926</v>
      </c>
    </row>
    <row r="16" spans="1:73" x14ac:dyDescent="0.35">
      <c r="A16" s="5"/>
      <c r="B16" s="5" t="b">
        <v>0</v>
      </c>
      <c r="C16" s="5" t="s">
        <v>100</v>
      </c>
      <c r="D16" s="6">
        <v>46232.667337963001</v>
      </c>
      <c r="E16" s="3" t="s">
        <v>24</v>
      </c>
      <c r="F16" s="4" t="s">
        <v>105</v>
      </c>
      <c r="G16" s="5" t="s">
        <v>46</v>
      </c>
      <c r="H16" s="2">
        <v>9923.7099999999991</v>
      </c>
      <c r="I16" s="2">
        <v>1.1463231471733899</v>
      </c>
      <c r="J16" s="2">
        <v>24.948078234083901</v>
      </c>
      <c r="K16" s="4">
        <v>1152.9266666666699</v>
      </c>
      <c r="L16" s="4">
        <v>10.2223934077176</v>
      </c>
      <c r="M16" s="4">
        <v>6.8178713682277596</v>
      </c>
      <c r="N16" s="2">
        <v>485.51666666666699</v>
      </c>
      <c r="O16" s="2">
        <v>4.4931809332862001</v>
      </c>
      <c r="P16" s="2">
        <v>11.1396705022209</v>
      </c>
      <c r="Q16" s="4">
        <v>16511.526666666701</v>
      </c>
      <c r="R16" s="4">
        <v>1.82963352909534</v>
      </c>
      <c r="S16" s="4">
        <v>181.84964958056901</v>
      </c>
      <c r="T16" s="2">
        <v>21.6933333333333</v>
      </c>
      <c r="U16" s="2">
        <v>26.640793767308601</v>
      </c>
      <c r="V16" s="2">
        <v>1.95715583653048</v>
      </c>
      <c r="W16" s="4">
        <v>1007.76333333333</v>
      </c>
      <c r="X16" s="4">
        <v>12.657215438226499</v>
      </c>
      <c r="Y16" s="4" t="s">
        <v>29</v>
      </c>
      <c r="Z16" s="2">
        <v>233.583333333333</v>
      </c>
      <c r="AA16" s="2">
        <v>22.912177825127799</v>
      </c>
      <c r="AB16" s="2">
        <v>9.3187635162914798E-2</v>
      </c>
      <c r="AC16" s="4">
        <v>83.423333333333304</v>
      </c>
      <c r="AD16" s="4">
        <v>36.664215419319497</v>
      </c>
      <c r="AE16" s="4">
        <v>5.80021952742764E-2</v>
      </c>
      <c r="AF16" s="2">
        <v>38929.253333333298</v>
      </c>
      <c r="AG16" s="2">
        <v>0.71794091317597197</v>
      </c>
      <c r="AH16" s="2">
        <v>7.0174571172296298</v>
      </c>
      <c r="AI16" s="4">
        <v>10.0133333333333</v>
      </c>
      <c r="AJ16" s="4">
        <v>49.983363839887801</v>
      </c>
      <c r="AK16" s="4" t="s">
        <v>29</v>
      </c>
      <c r="AL16" s="2">
        <v>105.113333333333</v>
      </c>
      <c r="AM16" s="2">
        <v>31.225598407993498</v>
      </c>
      <c r="AN16" s="2">
        <v>5.04733175200432E-2</v>
      </c>
      <c r="AO16" s="4">
        <v>30721.4</v>
      </c>
      <c r="AP16" s="4">
        <v>0.39395309551798002</v>
      </c>
      <c r="AQ16" s="4">
        <v>11.7824073179686</v>
      </c>
      <c r="AR16" s="2">
        <v>4248.4166666666697</v>
      </c>
      <c r="AS16" s="2">
        <v>3.1650523040562599</v>
      </c>
      <c r="AT16" s="2">
        <v>10.388371806443001</v>
      </c>
      <c r="AU16" s="4">
        <v>1.67</v>
      </c>
      <c r="AV16" s="4">
        <v>173.20508075688801</v>
      </c>
      <c r="AW16" s="4">
        <v>0</v>
      </c>
      <c r="AX16" s="2">
        <v>16312.14</v>
      </c>
      <c r="AY16" s="2">
        <v>0.82349197817548203</v>
      </c>
      <c r="AZ16" s="2">
        <v>3.4872171247534101</v>
      </c>
      <c r="BA16" s="4">
        <v>1.67</v>
      </c>
      <c r="BB16" s="4">
        <v>173.20508075688801</v>
      </c>
      <c r="BC16" s="4">
        <v>2.9788873755010798E-3</v>
      </c>
      <c r="BD16" s="2">
        <v>41.71</v>
      </c>
      <c r="BE16" s="2">
        <v>66.082401639627406</v>
      </c>
      <c r="BF16" s="2">
        <v>8.6961658882653198E-2</v>
      </c>
      <c r="BG16" s="4">
        <v>2834.9733333333302</v>
      </c>
      <c r="BH16" s="4">
        <v>4.9610963037828304</v>
      </c>
      <c r="BI16" s="4">
        <v>0.34053082346438701</v>
      </c>
      <c r="BJ16" s="2">
        <v>215447.70666666701</v>
      </c>
      <c r="BK16" s="2">
        <v>0.50004010866495996</v>
      </c>
      <c r="BL16" s="4">
        <v>17948.16</v>
      </c>
      <c r="BM16" s="4">
        <v>1.2489078077712501</v>
      </c>
      <c r="BN16" s="2">
        <v>940527.66</v>
      </c>
      <c r="BO16" s="2">
        <v>0.70850308056605404</v>
      </c>
      <c r="BP16" s="4">
        <v>92202.043333333306</v>
      </c>
      <c r="BQ16" s="4">
        <v>0.96348804580434799</v>
      </c>
      <c r="BR16" s="2">
        <v>470034.92666666699</v>
      </c>
      <c r="BS16" s="2">
        <v>0.47829200225489898</v>
      </c>
      <c r="BT16" s="4">
        <v>557495.15</v>
      </c>
      <c r="BU16" s="4">
        <v>0.50818036769902997</v>
      </c>
    </row>
    <row r="17" spans="1:73" x14ac:dyDescent="0.35">
      <c r="A17" s="5"/>
      <c r="B17" s="5" t="b">
        <v>0</v>
      </c>
      <c r="C17" s="5" t="s">
        <v>77</v>
      </c>
      <c r="D17" s="6">
        <v>46232.670405092598</v>
      </c>
      <c r="E17" s="3" t="s">
        <v>24</v>
      </c>
      <c r="F17" s="4" t="s">
        <v>105</v>
      </c>
      <c r="G17" s="5" t="s">
        <v>44</v>
      </c>
      <c r="H17" s="2">
        <v>22490.4233333333</v>
      </c>
      <c r="I17" s="2">
        <v>0.50480283144233795</v>
      </c>
      <c r="J17" s="2">
        <v>69.765799458913705</v>
      </c>
      <c r="K17" s="4">
        <v>1429.90333333333</v>
      </c>
      <c r="L17" s="4">
        <v>8.9410357541460108</v>
      </c>
      <c r="M17" s="4">
        <v>8.9860435981049402</v>
      </c>
      <c r="N17" s="2">
        <v>1434.9166666666699</v>
      </c>
      <c r="O17" s="2">
        <v>7.7249025010633696</v>
      </c>
      <c r="P17" s="2">
        <v>35.241774364592104</v>
      </c>
      <c r="Q17" s="4">
        <v>16823.91</v>
      </c>
      <c r="R17" s="4">
        <v>0.69973902425924805</v>
      </c>
      <c r="S17" s="4">
        <v>186.38084887269099</v>
      </c>
      <c r="T17" s="2">
        <v>18.3533333333333</v>
      </c>
      <c r="U17" s="2">
        <v>56.763193184224598</v>
      </c>
      <c r="V17" s="2">
        <v>9.6219328800846894E-16</v>
      </c>
      <c r="W17" s="4">
        <v>1021.11</v>
      </c>
      <c r="X17" s="4">
        <v>7.3207565490727697</v>
      </c>
      <c r="Y17" s="4" t="s">
        <v>29</v>
      </c>
      <c r="Z17" s="2">
        <v>281.96666666666698</v>
      </c>
      <c r="AA17" s="2">
        <v>10.847562587768</v>
      </c>
      <c r="AB17" s="2">
        <v>0.121336692941773</v>
      </c>
      <c r="AC17" s="4">
        <v>178.523333333333</v>
      </c>
      <c r="AD17" s="4">
        <v>22.663869071365699</v>
      </c>
      <c r="AE17" s="4">
        <v>0.180444121369364</v>
      </c>
      <c r="AF17" s="2">
        <v>92668.726666666698</v>
      </c>
      <c r="AG17" s="2">
        <v>0.70316825899218804</v>
      </c>
      <c r="AH17" s="2">
        <v>17.4169240912709</v>
      </c>
      <c r="AI17" s="4">
        <v>55.06</v>
      </c>
      <c r="AJ17" s="4">
        <v>18.180167090446702</v>
      </c>
      <c r="AK17" s="4">
        <v>1.1270531008221899E-2</v>
      </c>
      <c r="AL17" s="2">
        <v>116.793333333333</v>
      </c>
      <c r="AM17" s="2">
        <v>13.091952367860101</v>
      </c>
      <c r="AN17" s="2">
        <v>6.3091646900054005E-2</v>
      </c>
      <c r="AO17" s="4">
        <v>80601.100000000006</v>
      </c>
      <c r="AP17" s="4">
        <v>1.1760444837200199</v>
      </c>
      <c r="AQ17" s="4">
        <v>31.056944808393201</v>
      </c>
      <c r="AR17" s="2">
        <v>3654.2933333333299</v>
      </c>
      <c r="AS17" s="2">
        <v>2.3287677088565801</v>
      </c>
      <c r="AT17" s="2">
        <v>8.6956112991749492</v>
      </c>
      <c r="AU17" s="4">
        <v>8.3433333333333302</v>
      </c>
      <c r="AV17" s="4">
        <v>91.659363126148705</v>
      </c>
      <c r="AW17" s="4">
        <v>1.7239333189336299E-2</v>
      </c>
      <c r="AX17" s="2">
        <v>38217.93</v>
      </c>
      <c r="AY17" s="2">
        <v>1.3615353032164299</v>
      </c>
      <c r="AZ17" s="2">
        <v>8.1803123368729</v>
      </c>
      <c r="BA17" s="4">
        <v>6.6766666666666703</v>
      </c>
      <c r="BB17" s="4">
        <v>114.53988312768401</v>
      </c>
      <c r="BC17" s="4">
        <v>1.1909603619019301E-2</v>
      </c>
      <c r="BD17" s="2">
        <v>96.77</v>
      </c>
      <c r="BE17" s="2">
        <v>20.9030477171546</v>
      </c>
      <c r="BF17" s="2">
        <v>0.23046142725664601</v>
      </c>
      <c r="BG17" s="4">
        <v>35802.563333333303</v>
      </c>
      <c r="BH17" s="4">
        <v>1.14675597160995</v>
      </c>
      <c r="BI17" s="4">
        <v>4.9997623848874202</v>
      </c>
      <c r="BJ17" s="2">
        <v>215678.3</v>
      </c>
      <c r="BK17" s="2">
        <v>0.68114176133168403</v>
      </c>
      <c r="BL17" s="4">
        <v>18103.506666666701</v>
      </c>
      <c r="BM17" s="4">
        <v>2.9490192010757501</v>
      </c>
      <c r="BN17" s="2">
        <v>941208.82333333301</v>
      </c>
      <c r="BO17" s="2">
        <v>0.60544062962410905</v>
      </c>
      <c r="BP17" s="4">
        <v>92563.31</v>
      </c>
      <c r="BQ17" s="4">
        <v>0.77595957605835397</v>
      </c>
      <c r="BR17" s="2">
        <v>474046.66333333298</v>
      </c>
      <c r="BS17" s="2">
        <v>0.91251746423329605</v>
      </c>
      <c r="BT17" s="4">
        <v>556093.313333333</v>
      </c>
      <c r="BU17" s="4">
        <v>0.56854831662300997</v>
      </c>
    </row>
    <row r="18" spans="1:73" x14ac:dyDescent="0.35">
      <c r="A18" s="5"/>
      <c r="B18" s="5" t="b">
        <v>0</v>
      </c>
      <c r="C18" s="5" t="s">
        <v>76</v>
      </c>
      <c r="D18" s="6">
        <v>46232.673414351899</v>
      </c>
      <c r="E18" s="3" t="s">
        <v>24</v>
      </c>
      <c r="F18" s="4" t="s">
        <v>105</v>
      </c>
      <c r="G18" s="5" t="s">
        <v>109</v>
      </c>
      <c r="H18" s="2">
        <v>17968.003333333301</v>
      </c>
      <c r="I18" s="2">
        <v>0.88245481745335597</v>
      </c>
      <c r="J18" s="2">
        <v>53.637114619420203</v>
      </c>
      <c r="K18" s="4">
        <v>1885.43333333333</v>
      </c>
      <c r="L18" s="4">
        <v>4.8690529831395404</v>
      </c>
      <c r="M18" s="4">
        <v>12.551930601375799</v>
      </c>
      <c r="N18" s="2">
        <v>448.81</v>
      </c>
      <c r="O18" s="2">
        <v>8.5177471864939296</v>
      </c>
      <c r="P18" s="2">
        <v>10.2078104933295</v>
      </c>
      <c r="Q18" s="4">
        <v>13575.5</v>
      </c>
      <c r="R18" s="4">
        <v>0.96480352224312504</v>
      </c>
      <c r="S18" s="4">
        <v>139.26183987992101</v>
      </c>
      <c r="T18" s="2">
        <v>48.386666666666699</v>
      </c>
      <c r="U18" s="2">
        <v>73.395013964766605</v>
      </c>
      <c r="V18" s="2">
        <v>17.598776534071501</v>
      </c>
      <c r="W18" s="4">
        <v>1483.3</v>
      </c>
      <c r="X18" s="4">
        <v>6.2803707559770299</v>
      </c>
      <c r="Y18" s="4">
        <v>23.939783382825201</v>
      </c>
      <c r="Z18" s="2">
        <v>275.29333333333301</v>
      </c>
      <c r="AA18" s="2">
        <v>14.8816904033011</v>
      </c>
      <c r="AB18" s="2">
        <v>0.11745419802801001</v>
      </c>
      <c r="AC18" s="4">
        <v>118.46</v>
      </c>
      <c r="AD18" s="4">
        <v>15.997286189734099</v>
      </c>
      <c r="AE18" s="4">
        <v>0.103112152694026</v>
      </c>
      <c r="AF18" s="2">
        <v>40423.183333333298</v>
      </c>
      <c r="AG18" s="2">
        <v>0.35727607118958099</v>
      </c>
      <c r="AH18" s="2">
        <v>7.30655700475854</v>
      </c>
      <c r="AI18" s="4">
        <v>30.033333333333299</v>
      </c>
      <c r="AJ18" s="4">
        <v>44.084669265290302</v>
      </c>
      <c r="AK18" s="4">
        <v>3.5862641348355798E-3</v>
      </c>
      <c r="AL18" s="2">
        <v>175.18666666666701</v>
      </c>
      <c r="AM18" s="2">
        <v>20.6041529459172</v>
      </c>
      <c r="AN18" s="2">
        <v>0.12617609155731099</v>
      </c>
      <c r="AO18" s="4">
        <v>37186.506666666697</v>
      </c>
      <c r="AP18" s="4">
        <v>1.08008146850191</v>
      </c>
      <c r="AQ18" s="4">
        <v>14.280656923043599</v>
      </c>
      <c r="AR18" s="2">
        <v>3744.44</v>
      </c>
      <c r="AS18" s="2">
        <v>6.7276942605883896</v>
      </c>
      <c r="AT18" s="2">
        <v>8.9524548005722799</v>
      </c>
      <c r="AU18" s="4">
        <v>0</v>
      </c>
      <c r="AV18" s="4" t="s">
        <v>35</v>
      </c>
      <c r="AW18" s="4" t="s">
        <v>29</v>
      </c>
      <c r="AX18" s="2">
        <v>16730.866666666701</v>
      </c>
      <c r="AY18" s="2">
        <v>0.39905143433668</v>
      </c>
      <c r="AZ18" s="2">
        <v>3.57692510216578</v>
      </c>
      <c r="BA18" s="4">
        <v>0</v>
      </c>
      <c r="BB18" s="4" t="s">
        <v>35</v>
      </c>
      <c r="BC18" s="4">
        <v>0</v>
      </c>
      <c r="BD18" s="2">
        <v>60.06</v>
      </c>
      <c r="BE18" s="2">
        <v>16.6666666666666</v>
      </c>
      <c r="BF18" s="2">
        <v>0.13478622752890801</v>
      </c>
      <c r="BG18" s="4">
        <v>6652.0233333333299</v>
      </c>
      <c r="BH18" s="4">
        <v>3.0266357691013002</v>
      </c>
      <c r="BI18" s="4">
        <v>0.879985476701999</v>
      </c>
      <c r="BJ18" s="2">
        <v>215106.69333333301</v>
      </c>
      <c r="BK18" s="2">
        <v>0.54375345654003704</v>
      </c>
      <c r="BL18" s="4">
        <v>17462.086666666699</v>
      </c>
      <c r="BM18" s="4">
        <v>0.90433481898466805</v>
      </c>
      <c r="BN18" s="2">
        <v>944223.23333333305</v>
      </c>
      <c r="BO18" s="2">
        <v>0.50443383530039898</v>
      </c>
      <c r="BP18" s="4">
        <v>92368.843333333294</v>
      </c>
      <c r="BQ18" s="4">
        <v>1.4726442545412901</v>
      </c>
      <c r="BR18" s="2">
        <v>472216.66666666698</v>
      </c>
      <c r="BS18" s="2">
        <v>0.59051667190749102</v>
      </c>
      <c r="BT18" s="4">
        <v>551921.48</v>
      </c>
      <c r="BU18" s="4">
        <v>0.23262497834896201</v>
      </c>
    </row>
    <row r="19" spans="1:73" x14ac:dyDescent="0.35">
      <c r="A19" s="5"/>
      <c r="B19" s="5" t="b">
        <v>0</v>
      </c>
      <c r="C19" s="5" t="s">
        <v>10</v>
      </c>
      <c r="D19" s="6">
        <v>46232.676493055602</v>
      </c>
      <c r="E19" s="3" t="s">
        <v>24</v>
      </c>
      <c r="F19" s="4" t="s">
        <v>105</v>
      </c>
      <c r="G19" s="5" t="s">
        <v>74</v>
      </c>
      <c r="H19" s="2">
        <v>14009.553333333301</v>
      </c>
      <c r="I19" s="2">
        <v>0.38225174573757098</v>
      </c>
      <c r="J19" s="2">
        <v>39.519763178622298</v>
      </c>
      <c r="K19" s="4">
        <v>1403.2066666666699</v>
      </c>
      <c r="L19" s="4">
        <v>8.7108872424897701</v>
      </c>
      <c r="M19" s="4">
        <v>8.7770621990811204</v>
      </c>
      <c r="N19" s="2">
        <v>570.613333333333</v>
      </c>
      <c r="O19" s="2">
        <v>9.9635520366300305</v>
      </c>
      <c r="P19" s="2">
        <v>13.2999914400148</v>
      </c>
      <c r="Q19" s="4">
        <v>16909.166666666701</v>
      </c>
      <c r="R19" s="4">
        <v>1.4963121885597599</v>
      </c>
      <c r="S19" s="4">
        <v>187.617518395123</v>
      </c>
      <c r="T19" s="2">
        <v>45.046666666666702</v>
      </c>
      <c r="U19" s="2">
        <v>48.427872490586502</v>
      </c>
      <c r="V19" s="2">
        <v>15.641620697541001</v>
      </c>
      <c r="W19" s="4">
        <v>1139.57666666667</v>
      </c>
      <c r="X19" s="4">
        <v>4.39973372772885</v>
      </c>
      <c r="Y19" s="4">
        <v>1.5230435275108101</v>
      </c>
      <c r="Z19" s="2">
        <v>205.22</v>
      </c>
      <c r="AA19" s="2">
        <v>8.4484107707652303</v>
      </c>
      <c r="AB19" s="2">
        <v>7.6686062125346302E-2</v>
      </c>
      <c r="AC19" s="4">
        <v>120.13</v>
      </c>
      <c r="AD19" s="4">
        <v>26.022657835142301</v>
      </c>
      <c r="AE19" s="4">
        <v>0.105262289566569</v>
      </c>
      <c r="AF19" s="2">
        <v>52859.040000000001</v>
      </c>
      <c r="AG19" s="2">
        <v>1.1334363914154599</v>
      </c>
      <c r="AH19" s="2">
        <v>9.7130986523986298</v>
      </c>
      <c r="AI19" s="4">
        <v>28.363333333333301</v>
      </c>
      <c r="AJ19" s="4">
        <v>61.979158477624402</v>
      </c>
      <c r="AK19" s="4">
        <v>3.0735020539130299E-3</v>
      </c>
      <c r="AL19" s="2">
        <v>90.096666666666707</v>
      </c>
      <c r="AM19" s="2">
        <v>20.032436626331101</v>
      </c>
      <c r="AN19" s="2">
        <v>3.4250265620229099E-2</v>
      </c>
      <c r="AO19" s="4">
        <v>42727.360000000001</v>
      </c>
      <c r="AP19" s="4">
        <v>0.87910988290424297</v>
      </c>
      <c r="AQ19" s="4">
        <v>16.421756113741999</v>
      </c>
      <c r="AR19" s="2">
        <v>2329.3033333333301</v>
      </c>
      <c r="AS19" s="2">
        <v>7.0310509270407797</v>
      </c>
      <c r="AT19" s="2">
        <v>4.9204847914491996</v>
      </c>
      <c r="AU19" s="4">
        <v>6.6766666666666703</v>
      </c>
      <c r="AV19" s="4">
        <v>43.236415565873102</v>
      </c>
      <c r="AW19" s="4">
        <v>1.29338054197718E-2</v>
      </c>
      <c r="AX19" s="2">
        <v>24797.4233333333</v>
      </c>
      <c r="AY19" s="2">
        <v>1.01459792216343</v>
      </c>
      <c r="AZ19" s="2">
        <v>5.3051037467444004</v>
      </c>
      <c r="BA19" s="4">
        <v>5.0066666666666704</v>
      </c>
      <c r="BB19" s="4">
        <v>99.966727679775602</v>
      </c>
      <c r="BC19" s="4">
        <v>8.9307162435182004E-3</v>
      </c>
      <c r="BD19" s="2">
        <v>51.72</v>
      </c>
      <c r="BE19" s="2">
        <v>20.1460544029893</v>
      </c>
      <c r="BF19" s="2">
        <v>0.113050156547449</v>
      </c>
      <c r="BG19" s="4">
        <v>4640.7033333333302</v>
      </c>
      <c r="BH19" s="4">
        <v>3.99608347145996</v>
      </c>
      <c r="BI19" s="4">
        <v>0.595730375734007</v>
      </c>
      <c r="BJ19" s="2">
        <v>216229.403333333</v>
      </c>
      <c r="BK19" s="2">
        <v>0.247449257554538</v>
      </c>
      <c r="BL19" s="4">
        <v>18340.68</v>
      </c>
      <c r="BM19" s="4">
        <v>1.92460381068959</v>
      </c>
      <c r="BN19" s="2">
        <v>942279.40666666697</v>
      </c>
      <c r="BO19" s="2">
        <v>0.347550869420648</v>
      </c>
      <c r="BP19" s="4">
        <v>92134.986666666693</v>
      </c>
      <c r="BQ19" s="4">
        <v>0.96116415988032</v>
      </c>
      <c r="BR19" s="2">
        <v>472141.97333333298</v>
      </c>
      <c r="BS19" s="2">
        <v>7.0111036858063205E-2</v>
      </c>
      <c r="BT19" s="4">
        <v>550488.563333333</v>
      </c>
      <c r="BU19" s="4">
        <v>0.50927885878934298</v>
      </c>
    </row>
    <row r="20" spans="1:73" x14ac:dyDescent="0.35">
      <c r="A20" s="5"/>
      <c r="B20" s="5" t="b">
        <v>0</v>
      </c>
      <c r="C20" s="5" t="s">
        <v>38</v>
      </c>
      <c r="D20" s="6">
        <v>46232.679502314801</v>
      </c>
      <c r="E20" s="3" t="s">
        <v>24</v>
      </c>
      <c r="F20" s="4" t="s">
        <v>105</v>
      </c>
      <c r="G20" s="5" t="s">
        <v>67</v>
      </c>
      <c r="H20" s="2">
        <v>29541.8066666667</v>
      </c>
      <c r="I20" s="2">
        <v>0.72170046411141897</v>
      </c>
      <c r="J20" s="2">
        <v>94.913737833896803</v>
      </c>
      <c r="K20" s="4">
        <v>2244.19333333333</v>
      </c>
      <c r="L20" s="4">
        <v>4.9345468851412502</v>
      </c>
      <c r="M20" s="4">
        <v>15.3603024348301</v>
      </c>
      <c r="N20" s="2">
        <v>814.21666666666704</v>
      </c>
      <c r="O20" s="2">
        <v>12.052334436946801</v>
      </c>
      <c r="P20" s="2">
        <v>19.4842687111543</v>
      </c>
      <c r="Q20" s="4">
        <v>17939.78</v>
      </c>
      <c r="R20" s="4">
        <v>0.59703210843986698</v>
      </c>
      <c r="S20" s="4">
        <v>202.566825570449</v>
      </c>
      <c r="T20" s="2">
        <v>85.09</v>
      </c>
      <c r="U20" s="2">
        <v>23.528029145610599</v>
      </c>
      <c r="V20" s="2">
        <v>39.106004993190297</v>
      </c>
      <c r="W20" s="4">
        <v>1927.16</v>
      </c>
      <c r="X20" s="4">
        <v>2.4778699903100798</v>
      </c>
      <c r="Y20" s="4">
        <v>52.887175623231201</v>
      </c>
      <c r="Z20" s="2">
        <v>295.31333333333299</v>
      </c>
      <c r="AA20" s="2">
        <v>25.081470153096198</v>
      </c>
      <c r="AB20" s="2">
        <v>0.12910168276930001</v>
      </c>
      <c r="AC20" s="4">
        <v>640.68666666666695</v>
      </c>
      <c r="AD20" s="4">
        <v>8.2682555267544693</v>
      </c>
      <c r="AE20" s="4">
        <v>0.77548269869701103</v>
      </c>
      <c r="AF20" s="2">
        <v>61734.400000000001</v>
      </c>
      <c r="AG20" s="2">
        <v>1.1592898898586701</v>
      </c>
      <c r="AH20" s="2">
        <v>11.4306259647751</v>
      </c>
      <c r="AI20" s="4">
        <v>56.726666666666702</v>
      </c>
      <c r="AJ20" s="4">
        <v>30.989579238812301</v>
      </c>
      <c r="AK20" s="4">
        <v>1.1782269611937001E-2</v>
      </c>
      <c r="AL20" s="2">
        <v>210.226666666667</v>
      </c>
      <c r="AM20" s="2">
        <v>16.666704419967601</v>
      </c>
      <c r="AN20" s="2">
        <v>0.16403107969734401</v>
      </c>
      <c r="AO20" s="4">
        <v>46599.81</v>
      </c>
      <c r="AP20" s="4">
        <v>0.11401950378367599</v>
      </c>
      <c r="AQ20" s="4">
        <v>17.918150091748998</v>
      </c>
      <c r="AR20" s="2">
        <v>6152.77</v>
      </c>
      <c r="AS20" s="2">
        <v>3.11858945631402</v>
      </c>
      <c r="AT20" s="2">
        <v>15.814205019329499</v>
      </c>
      <c r="AU20" s="4">
        <v>6.6766666666666703</v>
      </c>
      <c r="AV20" s="4">
        <v>114.53988312768401</v>
      </c>
      <c r="AW20" s="4">
        <v>1.29338054197718E-2</v>
      </c>
      <c r="AX20" s="2">
        <v>26152.54</v>
      </c>
      <c r="AY20" s="2">
        <v>2.1000079830763698</v>
      </c>
      <c r="AZ20" s="2">
        <v>5.5954238648591401</v>
      </c>
      <c r="BA20" s="4">
        <v>5.0066666666666704</v>
      </c>
      <c r="BB20" s="4">
        <v>99.966727679775602</v>
      </c>
      <c r="BC20" s="4">
        <v>8.9307162435182004E-3</v>
      </c>
      <c r="BD20" s="2">
        <v>53.39</v>
      </c>
      <c r="BE20" s="2">
        <v>27.0561972937337</v>
      </c>
      <c r="BF20" s="2">
        <v>0.11740258323078701</v>
      </c>
      <c r="BG20" s="4">
        <v>5146.4399999999996</v>
      </c>
      <c r="BH20" s="4">
        <v>1.6367370764385201</v>
      </c>
      <c r="BI20" s="4">
        <v>0.66720494330483104</v>
      </c>
      <c r="BJ20" s="2">
        <v>215063.07333333301</v>
      </c>
      <c r="BK20" s="2">
        <v>9.6153640442416796E-2</v>
      </c>
      <c r="BL20" s="4">
        <v>17989.88</v>
      </c>
      <c r="BM20" s="4">
        <v>3.3922813299235299</v>
      </c>
      <c r="BN20" s="2">
        <v>947047.79333333299</v>
      </c>
      <c r="BO20" s="2">
        <v>0.79986092328945801</v>
      </c>
      <c r="BP20" s="4">
        <v>92891.18</v>
      </c>
      <c r="BQ20" s="4">
        <v>1.01536563770639</v>
      </c>
      <c r="BR20" s="2">
        <v>471262.11</v>
      </c>
      <c r="BS20" s="2">
        <v>0.293453929201972</v>
      </c>
      <c r="BT20" s="4">
        <v>550325.66666666698</v>
      </c>
      <c r="BU20" s="4">
        <v>0.61540464048013399</v>
      </c>
    </row>
    <row r="21" spans="1:73" x14ac:dyDescent="0.35">
      <c r="A21" s="5"/>
      <c r="B21" s="5" t="b">
        <v>0</v>
      </c>
      <c r="C21" s="5" t="s">
        <v>91</v>
      </c>
      <c r="D21" s="6">
        <v>46232.682569444398</v>
      </c>
      <c r="E21" s="3" t="s">
        <v>24</v>
      </c>
      <c r="F21" s="4" t="s">
        <v>105</v>
      </c>
      <c r="G21" s="5" t="s">
        <v>34</v>
      </c>
      <c r="H21" s="2">
        <v>17476.82</v>
      </c>
      <c r="I21" s="2">
        <v>0.84261536685196903</v>
      </c>
      <c r="J21" s="2">
        <v>51.885366400160301</v>
      </c>
      <c r="K21" s="4">
        <v>1583.4166666666699</v>
      </c>
      <c r="L21" s="4">
        <v>7.7461351680075197</v>
      </c>
      <c r="M21" s="4">
        <v>10.1877453524617</v>
      </c>
      <c r="N21" s="2">
        <v>680.73</v>
      </c>
      <c r="O21" s="2">
        <v>5.0938929043127796</v>
      </c>
      <c r="P21" s="2">
        <v>16.0954868444577</v>
      </c>
      <c r="Q21" s="4">
        <v>16468.14</v>
      </c>
      <c r="R21" s="4">
        <v>3.0595405350929501</v>
      </c>
      <c r="S21" s="4">
        <v>181.220315002473</v>
      </c>
      <c r="T21" s="2">
        <v>41.713333333333303</v>
      </c>
      <c r="U21" s="2">
        <v>36.656211208652699</v>
      </c>
      <c r="V21" s="2">
        <v>13.688371359686199</v>
      </c>
      <c r="W21" s="4">
        <v>1523.35666666667</v>
      </c>
      <c r="X21" s="4">
        <v>7.1414010369109997</v>
      </c>
      <c r="Y21" s="4">
        <v>26.552174771648701</v>
      </c>
      <c r="Z21" s="2">
        <v>203.54666666666699</v>
      </c>
      <c r="AA21" s="2">
        <v>11.357152223086899</v>
      </c>
      <c r="AB21" s="2">
        <v>7.5712529434682402E-2</v>
      </c>
      <c r="AC21" s="4">
        <v>176.85</v>
      </c>
      <c r="AD21" s="4">
        <v>21.984107445400898</v>
      </c>
      <c r="AE21" s="4">
        <v>0.17828969280645701</v>
      </c>
      <c r="AF21" s="2">
        <v>52755.186666666697</v>
      </c>
      <c r="AG21" s="2">
        <v>0.96674844210615096</v>
      </c>
      <c r="AH21" s="2">
        <v>9.6930013339257695</v>
      </c>
      <c r="AI21" s="4">
        <v>15.016666666666699</v>
      </c>
      <c r="AJ21" s="4">
        <v>33.329639284133798</v>
      </c>
      <c r="AK21" s="4" t="s">
        <v>29</v>
      </c>
      <c r="AL21" s="2">
        <v>78.4166666666667</v>
      </c>
      <c r="AM21" s="2">
        <v>13.2925087322281</v>
      </c>
      <c r="AN21" s="2">
        <v>2.1631936240218301E-2</v>
      </c>
      <c r="AO21" s="4">
        <v>44579.86</v>
      </c>
      <c r="AP21" s="4">
        <v>0.99446346273708797</v>
      </c>
      <c r="AQ21" s="4">
        <v>17.137600048268698</v>
      </c>
      <c r="AR21" s="2">
        <v>1883.7766666666701</v>
      </c>
      <c r="AS21" s="2">
        <v>4.7555825615389997</v>
      </c>
      <c r="AT21" s="2">
        <v>3.6511019815924999</v>
      </c>
      <c r="AU21" s="4">
        <v>1.67</v>
      </c>
      <c r="AV21" s="4">
        <v>173.20508075688801</v>
      </c>
      <c r="AW21" s="4">
        <v>0</v>
      </c>
      <c r="AX21" s="2">
        <v>26271.0366666667</v>
      </c>
      <c r="AY21" s="2">
        <v>0.65329592314919405</v>
      </c>
      <c r="AZ21" s="2">
        <v>5.6208105840318101</v>
      </c>
      <c r="BA21" s="4">
        <v>1.67</v>
      </c>
      <c r="BB21" s="4">
        <v>173.20508075688801</v>
      </c>
      <c r="BC21" s="4">
        <v>2.9788873755010798E-3</v>
      </c>
      <c r="BD21" s="2">
        <v>40.043333333333301</v>
      </c>
      <c r="BE21" s="2">
        <v>12.4989615395841</v>
      </c>
      <c r="BF21" s="2">
        <v>8.2617919677725499E-2</v>
      </c>
      <c r="BG21" s="4">
        <v>4265.1833333333298</v>
      </c>
      <c r="BH21" s="4">
        <v>2.7683279110100099</v>
      </c>
      <c r="BI21" s="4">
        <v>0.54265902183930104</v>
      </c>
      <c r="BJ21" s="2">
        <v>213645.8</v>
      </c>
      <c r="BK21" s="2">
        <v>0.50304668690682197</v>
      </c>
      <c r="BL21" s="4">
        <v>17502.093333333301</v>
      </c>
      <c r="BM21" s="4">
        <v>1.59719913275401</v>
      </c>
      <c r="BN21" s="2">
        <v>930041.07333333301</v>
      </c>
      <c r="BO21" s="2">
        <v>0.64815013437868196</v>
      </c>
      <c r="BP21" s="4">
        <v>92791.9433333333</v>
      </c>
      <c r="BQ21" s="4">
        <v>1.2727829620831601</v>
      </c>
      <c r="BR21" s="2">
        <v>466129.623333333</v>
      </c>
      <c r="BS21" s="2">
        <v>0.66540159385335396</v>
      </c>
      <c r="BT21" s="4">
        <v>553909.17000000004</v>
      </c>
      <c r="BU21" s="4">
        <v>0.27176128962228102</v>
      </c>
    </row>
    <row r="22" spans="1:73" x14ac:dyDescent="0.35">
      <c r="A22" s="5"/>
      <c r="B22" s="5" t="b">
        <v>0</v>
      </c>
      <c r="C22" s="5" t="s">
        <v>95</v>
      </c>
      <c r="D22" s="6">
        <v>46232.685601851903</v>
      </c>
      <c r="E22" s="3" t="s">
        <v>24</v>
      </c>
      <c r="F22" s="4" t="s">
        <v>105</v>
      </c>
      <c r="G22" s="5" t="s">
        <v>63</v>
      </c>
      <c r="H22" s="2">
        <v>24052.9233333333</v>
      </c>
      <c r="I22" s="2">
        <v>0.61186336943212605</v>
      </c>
      <c r="J22" s="2">
        <v>75.338273944191201</v>
      </c>
      <c r="K22" s="4">
        <v>1483.3</v>
      </c>
      <c r="L22" s="4">
        <v>7.2564361210104504</v>
      </c>
      <c r="M22" s="4">
        <v>9.4040324894724794</v>
      </c>
      <c r="N22" s="2">
        <v>794.18666666666695</v>
      </c>
      <c r="O22" s="2">
        <v>4.8961377142236797</v>
      </c>
      <c r="P22" s="2">
        <v>18.975773724464499</v>
      </c>
      <c r="Q22" s="4">
        <v>5244.7866666666696</v>
      </c>
      <c r="R22" s="4">
        <v>4.5786116925975602</v>
      </c>
      <c r="S22" s="4">
        <v>18.422735065712502</v>
      </c>
      <c r="T22" s="2">
        <v>61.73</v>
      </c>
      <c r="U22" s="2">
        <v>12.381470661191701</v>
      </c>
      <c r="V22" s="2">
        <v>25.417633633504099</v>
      </c>
      <c r="W22" s="4">
        <v>1803.69333333333</v>
      </c>
      <c r="X22" s="4">
        <v>2.1558250612453498</v>
      </c>
      <c r="Y22" s="4">
        <v>44.835001449808402</v>
      </c>
      <c r="Z22" s="2">
        <v>266.95</v>
      </c>
      <c r="AA22" s="2">
        <v>22.913491572127398</v>
      </c>
      <c r="AB22" s="2">
        <v>0.112600109731731</v>
      </c>
      <c r="AC22" s="4">
        <v>110.116666666667</v>
      </c>
      <c r="AD22" s="4">
        <v>13.6355383176935</v>
      </c>
      <c r="AE22" s="4">
        <v>9.2370051712042295E-2</v>
      </c>
      <c r="AF22" s="2">
        <v>56075.8733333333</v>
      </c>
      <c r="AG22" s="2">
        <v>0.97464985227252898</v>
      </c>
      <c r="AH22" s="2">
        <v>10.3356085122086</v>
      </c>
      <c r="AI22" s="4">
        <v>58.396666666666697</v>
      </c>
      <c r="AJ22" s="4">
        <v>9.8965857547602401</v>
      </c>
      <c r="AK22" s="4">
        <v>1.22950316928595E-2</v>
      </c>
      <c r="AL22" s="2">
        <v>91.763333333333307</v>
      </c>
      <c r="AM22" s="2">
        <v>13.7283897892677</v>
      </c>
      <c r="AN22" s="2">
        <v>3.6050826319431503E-2</v>
      </c>
      <c r="AO22" s="4">
        <v>43831.803333333301</v>
      </c>
      <c r="AP22" s="4">
        <v>1.45546356558906</v>
      </c>
      <c r="AQ22" s="4">
        <v>16.848535633955301</v>
      </c>
      <c r="AR22" s="2">
        <v>2267.5633333333299</v>
      </c>
      <c r="AS22" s="2">
        <v>6.6340002994621798</v>
      </c>
      <c r="AT22" s="2">
        <v>4.74457681434221</v>
      </c>
      <c r="AU22" s="4">
        <v>3.33666666666667</v>
      </c>
      <c r="AV22" s="4">
        <v>173.20508075688801</v>
      </c>
      <c r="AW22" s="4">
        <v>4.3055277695645102E-3</v>
      </c>
      <c r="AX22" s="2">
        <v>22165.836666666699</v>
      </c>
      <c r="AY22" s="2">
        <v>0.502334883435678</v>
      </c>
      <c r="AZ22" s="2">
        <v>4.7413127679387603</v>
      </c>
      <c r="BA22" s="4">
        <v>1.67</v>
      </c>
      <c r="BB22" s="4">
        <v>173.20508075688801</v>
      </c>
      <c r="BC22" s="4">
        <v>2.9788873755010798E-3</v>
      </c>
      <c r="BD22" s="2">
        <v>33.369999999999997</v>
      </c>
      <c r="BE22" s="2">
        <v>43.288294081883201</v>
      </c>
      <c r="BF22" s="2">
        <v>6.5225587901194801E-2</v>
      </c>
      <c r="BG22" s="4">
        <v>3414.05</v>
      </c>
      <c r="BH22" s="4">
        <v>4.0317945334748098</v>
      </c>
      <c r="BI22" s="4">
        <v>0.42237035986413501</v>
      </c>
      <c r="BJ22" s="2">
        <v>214642.23666666701</v>
      </c>
      <c r="BK22" s="2">
        <v>0.90161589466426495</v>
      </c>
      <c r="BL22" s="4">
        <v>17749.403333333299</v>
      </c>
      <c r="BM22" s="4">
        <v>0.225556906599433</v>
      </c>
      <c r="BN22" s="2">
        <v>941271.24666666705</v>
      </c>
      <c r="BO22" s="2">
        <v>1.02154877370414</v>
      </c>
      <c r="BP22" s="4">
        <v>91664.7</v>
      </c>
      <c r="BQ22" s="4">
        <v>0.69375114935168802</v>
      </c>
      <c r="BR22" s="2">
        <v>469600.97666666697</v>
      </c>
      <c r="BS22" s="2">
        <v>1.12603016378875</v>
      </c>
      <c r="BT22" s="4">
        <v>553278.83666666702</v>
      </c>
      <c r="BU22" s="4">
        <v>0.47749838119065002</v>
      </c>
    </row>
    <row r="23" spans="1:73" x14ac:dyDescent="0.35">
      <c r="A23" s="5"/>
      <c r="B23" s="5" t="b">
        <v>0</v>
      </c>
      <c r="C23" s="5" t="s">
        <v>33</v>
      </c>
      <c r="D23" s="6">
        <v>46232.6886689815</v>
      </c>
      <c r="E23" s="3" t="s">
        <v>24</v>
      </c>
      <c r="F23" s="4" t="s">
        <v>105</v>
      </c>
      <c r="G23" s="5" t="s">
        <v>31</v>
      </c>
      <c r="H23" s="2">
        <v>22826.3066666667</v>
      </c>
      <c r="I23" s="2">
        <v>1.4503170220167401</v>
      </c>
      <c r="J23" s="2">
        <v>70.963688294132893</v>
      </c>
      <c r="K23" s="4">
        <v>1258.04666666667</v>
      </c>
      <c r="L23" s="4">
        <v>1.60761762385935</v>
      </c>
      <c r="M23" s="4">
        <v>7.6407503043764997</v>
      </c>
      <c r="N23" s="2">
        <v>1036.1300000000001</v>
      </c>
      <c r="O23" s="2">
        <v>4.2935286511653299</v>
      </c>
      <c r="P23" s="2">
        <v>25.1179091245154</v>
      </c>
      <c r="Q23" s="4">
        <v>5927.4533333333302</v>
      </c>
      <c r="R23" s="4">
        <v>4.33131674682856</v>
      </c>
      <c r="S23" s="4">
        <v>28.324987800352201</v>
      </c>
      <c r="T23" s="2">
        <v>46.716666666666697</v>
      </c>
      <c r="U23" s="2">
        <v>22.300259841051901</v>
      </c>
      <c r="V23" s="2">
        <v>16.620198615806199</v>
      </c>
      <c r="W23" s="4">
        <v>1578.4166666666699</v>
      </c>
      <c r="X23" s="4">
        <v>0.798453656275387</v>
      </c>
      <c r="Y23" s="4">
        <v>30.143044452982299</v>
      </c>
      <c r="Z23" s="2">
        <v>395.42</v>
      </c>
      <c r="AA23" s="2">
        <v>10.3617868126692</v>
      </c>
      <c r="AB23" s="2">
        <v>0.187342985092047</v>
      </c>
      <c r="AC23" s="4">
        <v>181.86</v>
      </c>
      <c r="AD23" s="4">
        <v>21.020840837844499</v>
      </c>
      <c r="AE23" s="4">
        <v>0.18474010342408501</v>
      </c>
      <c r="AF23" s="2">
        <v>64061.946666666699</v>
      </c>
      <c r="AG23" s="2">
        <v>0.43939501476416798</v>
      </c>
      <c r="AH23" s="2">
        <v>11.881044310716099</v>
      </c>
      <c r="AI23" s="4">
        <v>120.12666666666701</v>
      </c>
      <c r="AJ23" s="4">
        <v>11.021778957774099</v>
      </c>
      <c r="AK23" s="4">
        <v>3.1248806097260301E-2</v>
      </c>
      <c r="AL23" s="2">
        <v>450.48</v>
      </c>
      <c r="AM23" s="2">
        <v>9.4933548584142695</v>
      </c>
      <c r="AN23" s="2">
        <v>0.423585505608776</v>
      </c>
      <c r="AO23" s="4">
        <v>51111.19</v>
      </c>
      <c r="AP23" s="4">
        <v>0.69368029911377604</v>
      </c>
      <c r="AQ23" s="4">
        <v>19.661439705430499</v>
      </c>
      <c r="AR23" s="2">
        <v>4804.16</v>
      </c>
      <c r="AS23" s="2">
        <v>3.5761331430174002</v>
      </c>
      <c r="AT23" s="2">
        <v>11.971781031537899</v>
      </c>
      <c r="AU23" s="4">
        <v>10.0133333333333</v>
      </c>
      <c r="AV23" s="4">
        <v>49.983363839887801</v>
      </c>
      <c r="AW23" s="4">
        <v>2.1553472014439998E-2</v>
      </c>
      <c r="AX23" s="2">
        <v>21665.22</v>
      </c>
      <c r="AY23" s="2">
        <v>2.0609371054560599</v>
      </c>
      <c r="AZ23" s="2">
        <v>4.6340606815524401</v>
      </c>
      <c r="BA23" s="4">
        <v>13.35</v>
      </c>
      <c r="BB23" s="4">
        <v>57.251549356955998</v>
      </c>
      <c r="BC23" s="4">
        <v>2.3813261355053499E-2</v>
      </c>
      <c r="BD23" s="2">
        <v>66.736666666666693</v>
      </c>
      <c r="BE23" s="2">
        <v>26.341374531047698</v>
      </c>
      <c r="BF23" s="2">
        <v>0.15218724678384801</v>
      </c>
      <c r="BG23" s="4">
        <v>8503.3933333333298</v>
      </c>
      <c r="BH23" s="4">
        <v>1.89061805255113</v>
      </c>
      <c r="BI23" s="4">
        <v>1.14163522228157</v>
      </c>
      <c r="BJ23" s="2">
        <v>214101.256666667</v>
      </c>
      <c r="BK23" s="2">
        <v>0.95034263379909001</v>
      </c>
      <c r="BL23" s="4">
        <v>18175.37</v>
      </c>
      <c r="BM23" s="4">
        <v>1.1853821007241301</v>
      </c>
      <c r="BN23" s="2">
        <v>940951.46333333303</v>
      </c>
      <c r="BO23" s="2">
        <v>0.25599371637561202</v>
      </c>
      <c r="BP23" s="4">
        <v>91780.88</v>
      </c>
      <c r="BQ23" s="4">
        <v>0.98379914396268398</v>
      </c>
      <c r="BR23" s="2">
        <v>467450.3</v>
      </c>
      <c r="BS23" s="2">
        <v>0.33681635057175002</v>
      </c>
      <c r="BT23" s="4">
        <v>552364.48</v>
      </c>
      <c r="BU23" s="4">
        <v>0.33181890630475303</v>
      </c>
    </row>
    <row r="24" spans="1:73" x14ac:dyDescent="0.35">
      <c r="A24" s="5"/>
      <c r="B24" s="5" t="b">
        <v>0</v>
      </c>
      <c r="C24" s="5" t="s">
        <v>103</v>
      </c>
      <c r="D24" s="6">
        <v>46232.691678240699</v>
      </c>
      <c r="E24" s="3" t="s">
        <v>24</v>
      </c>
      <c r="F24" s="4" t="s">
        <v>105</v>
      </c>
      <c r="G24" s="5" t="s">
        <v>90</v>
      </c>
      <c r="H24" s="2">
        <v>15993.61</v>
      </c>
      <c r="I24" s="2">
        <v>1.0212320409417199</v>
      </c>
      <c r="J24" s="2">
        <v>46.595670476122898</v>
      </c>
      <c r="K24" s="4">
        <v>817.55</v>
      </c>
      <c r="L24" s="4">
        <v>7.4065463412018904</v>
      </c>
      <c r="M24" s="4">
        <v>4.1925441738235003</v>
      </c>
      <c r="N24" s="2">
        <v>2067.32666666667</v>
      </c>
      <c r="O24" s="2">
        <v>7.5063125053968101</v>
      </c>
      <c r="P24" s="2">
        <v>51.296557915889899</v>
      </c>
      <c r="Q24" s="4">
        <v>4800.8433333333296</v>
      </c>
      <c r="R24" s="4">
        <v>1.7813702712961099</v>
      </c>
      <c r="S24" s="4">
        <v>11.983224685060501</v>
      </c>
      <c r="T24" s="2">
        <v>28.366666666666699</v>
      </c>
      <c r="U24" s="2">
        <v>20.373476596667999</v>
      </c>
      <c r="V24" s="2">
        <v>5.8675610109157299</v>
      </c>
      <c r="W24" s="4">
        <v>1381.5233333333299</v>
      </c>
      <c r="X24" s="4">
        <v>6.2757311736251298</v>
      </c>
      <c r="Y24" s="4">
        <v>17.3021744725358</v>
      </c>
      <c r="Z24" s="2">
        <v>146940.95333333299</v>
      </c>
      <c r="AA24" s="2">
        <v>0.47416442130932102</v>
      </c>
      <c r="AB24" s="2">
        <v>85.446427071216107</v>
      </c>
      <c r="AC24" s="4">
        <v>3939.6866666666701</v>
      </c>
      <c r="AD24" s="4">
        <v>4.6583255057609003</v>
      </c>
      <c r="AE24" s="4">
        <v>5.0229686523005199</v>
      </c>
      <c r="AF24" s="2">
        <v>1749171.4533333301</v>
      </c>
      <c r="AG24" s="2">
        <v>0.58115374663122499</v>
      </c>
      <c r="AH24" s="2">
        <v>337.97729303135799</v>
      </c>
      <c r="AI24" s="4">
        <v>3440.6866666666701</v>
      </c>
      <c r="AJ24" s="4">
        <v>2.1450196164733399</v>
      </c>
      <c r="AK24" s="4">
        <v>1.0508040488686301</v>
      </c>
      <c r="AL24" s="2">
        <v>35294.61</v>
      </c>
      <c r="AM24" s="2">
        <v>0.80268883211574005</v>
      </c>
      <c r="AN24" s="2">
        <v>38.066968151149503</v>
      </c>
      <c r="AO24" s="4">
        <v>39692.436666666697</v>
      </c>
      <c r="AP24" s="4">
        <v>1.4206350864313899</v>
      </c>
      <c r="AQ24" s="4">
        <v>15.2489995901683</v>
      </c>
      <c r="AR24" s="2">
        <v>5081.2466666666696</v>
      </c>
      <c r="AS24" s="2">
        <v>2.7465588519456898</v>
      </c>
      <c r="AT24" s="2">
        <v>12.7612490428215</v>
      </c>
      <c r="AU24" s="4">
        <v>15.016666666666699</v>
      </c>
      <c r="AV24" s="4">
        <v>33.329639284133798</v>
      </c>
      <c r="AW24" s="4">
        <v>3.4478666378672598E-2</v>
      </c>
      <c r="AX24" s="2">
        <v>12908.54</v>
      </c>
      <c r="AY24" s="2">
        <v>1.4549060507541001</v>
      </c>
      <c r="AZ24" s="2">
        <v>2.75803005302626</v>
      </c>
      <c r="BA24" s="4">
        <v>5.0066666666666704</v>
      </c>
      <c r="BB24" s="4">
        <v>99.966727679775602</v>
      </c>
      <c r="BC24" s="4">
        <v>8.9307162435182004E-3</v>
      </c>
      <c r="BD24" s="2">
        <v>93.433333333333294</v>
      </c>
      <c r="BE24" s="2">
        <v>43.303918510707703</v>
      </c>
      <c r="BF24" s="2">
        <v>0.22176526136838001</v>
      </c>
      <c r="BG24" s="4">
        <v>14872.403333333301</v>
      </c>
      <c r="BH24" s="4">
        <v>3.4598856913931302</v>
      </c>
      <c r="BI24" s="4">
        <v>2.0417523496487502</v>
      </c>
      <c r="BJ24" s="2">
        <v>213327.33333333299</v>
      </c>
      <c r="BK24" s="2">
        <v>0.62079256635570002</v>
      </c>
      <c r="BL24" s="4">
        <v>17888.07</v>
      </c>
      <c r="BM24" s="4">
        <v>1.34355948573907</v>
      </c>
      <c r="BN24" s="2">
        <v>943527.686666667</v>
      </c>
      <c r="BO24" s="2">
        <v>1.21324582945571</v>
      </c>
      <c r="BP24" s="4">
        <v>91100.816666666695</v>
      </c>
      <c r="BQ24" s="4">
        <v>0.48399653211609001</v>
      </c>
      <c r="BR24" s="2">
        <v>473120.15</v>
      </c>
      <c r="BS24" s="2">
        <v>0.34943142596429799</v>
      </c>
      <c r="BT24" s="4">
        <v>559741.72</v>
      </c>
      <c r="BU24" s="4">
        <v>0.44675769549607602</v>
      </c>
    </row>
    <row r="25" spans="1:73" x14ac:dyDescent="0.35">
      <c r="A25" s="5"/>
      <c r="B25" s="5" t="b">
        <v>0</v>
      </c>
      <c r="C25" s="5" t="s">
        <v>18</v>
      </c>
      <c r="D25" s="6">
        <v>46232.694756944402</v>
      </c>
      <c r="E25" s="3" t="s">
        <v>24</v>
      </c>
      <c r="F25" s="4" t="s">
        <v>105</v>
      </c>
      <c r="G25" s="5" t="s">
        <v>113</v>
      </c>
      <c r="H25" s="2">
        <v>53040.74</v>
      </c>
      <c r="I25" s="2">
        <v>0.98232499000393103</v>
      </c>
      <c r="J25" s="2">
        <v>178.71994994988901</v>
      </c>
      <c r="K25" s="4">
        <v>2272.56</v>
      </c>
      <c r="L25" s="4">
        <v>6.3037273038016899</v>
      </c>
      <c r="M25" s="4">
        <v>15.582356587120399</v>
      </c>
      <c r="N25" s="2">
        <v>1328.13</v>
      </c>
      <c r="O25" s="2">
        <v>7.1150799303029304</v>
      </c>
      <c r="P25" s="2">
        <v>32.530816569019699</v>
      </c>
      <c r="Q25" s="4">
        <v>8773.5166666666701</v>
      </c>
      <c r="R25" s="4">
        <v>1.47173634272406</v>
      </c>
      <c r="S25" s="4">
        <v>69.607856587644093</v>
      </c>
      <c r="T25" s="2">
        <v>98.44</v>
      </c>
      <c r="U25" s="2">
        <v>7.7642034123869701</v>
      </c>
      <c r="V25" s="2">
        <v>46.928768591298699</v>
      </c>
      <c r="W25" s="4">
        <v>2015.5933333333301</v>
      </c>
      <c r="X25" s="4">
        <v>2.7357239867582801</v>
      </c>
      <c r="Y25" s="4">
        <v>58.654567114076499</v>
      </c>
      <c r="Z25" s="2">
        <v>246403.7</v>
      </c>
      <c r="AA25" s="2">
        <v>0.25100211555068103</v>
      </c>
      <c r="AB25" s="2">
        <v>143.31310160302399</v>
      </c>
      <c r="AC25" s="4">
        <v>6089.3233333333301</v>
      </c>
      <c r="AD25" s="4">
        <v>3.1163633923384499</v>
      </c>
      <c r="AE25" s="4">
        <v>7.7906411430606601</v>
      </c>
      <c r="AF25" s="2">
        <v>2915905.1266666702</v>
      </c>
      <c r="AG25" s="2">
        <v>0.66996578323938705</v>
      </c>
      <c r="AH25" s="2">
        <v>563.75934020683303</v>
      </c>
      <c r="AI25" s="4">
        <v>6149.44</v>
      </c>
      <c r="AJ25" s="4">
        <v>0.94427939363504398</v>
      </c>
      <c r="AK25" s="4">
        <v>1.88250823803384</v>
      </c>
      <c r="AL25" s="2">
        <v>59032.606666666703</v>
      </c>
      <c r="AM25" s="2">
        <v>0.61539922446541395</v>
      </c>
      <c r="AN25" s="2">
        <v>63.711990476628799</v>
      </c>
      <c r="AO25" s="4">
        <v>38526.29</v>
      </c>
      <c r="AP25" s="4">
        <v>1.5176900223686101</v>
      </c>
      <c r="AQ25" s="4">
        <v>14.798376638426401</v>
      </c>
      <c r="AR25" s="2">
        <v>3734.41</v>
      </c>
      <c r="AS25" s="2">
        <v>4.8260635604574</v>
      </c>
      <c r="AT25" s="2">
        <v>8.9238775895197495</v>
      </c>
      <c r="AU25" s="4">
        <v>10.0133333333333</v>
      </c>
      <c r="AV25" s="4">
        <v>86.544882229057393</v>
      </c>
      <c r="AW25" s="4">
        <v>2.1553472014439998E-2</v>
      </c>
      <c r="AX25" s="2">
        <v>24390.266666666699</v>
      </c>
      <c r="AY25" s="2">
        <v>1.3039370928520599</v>
      </c>
      <c r="AZ25" s="2">
        <v>5.2178745254784298</v>
      </c>
      <c r="BA25" s="4">
        <v>8.3433333333333302</v>
      </c>
      <c r="BB25" s="4">
        <v>34.599496755271197</v>
      </c>
      <c r="BC25" s="4">
        <v>1.4882545111535301E-2</v>
      </c>
      <c r="BD25" s="2">
        <v>60.063333333333297</v>
      </c>
      <c r="BE25" s="2">
        <v>24.998613037627401</v>
      </c>
      <c r="BF25" s="2">
        <v>0.134794915007317</v>
      </c>
      <c r="BG25" s="4">
        <v>10037.723333333301</v>
      </c>
      <c r="BH25" s="4">
        <v>4.1322459177689197</v>
      </c>
      <c r="BI25" s="4">
        <v>1.35847845412346</v>
      </c>
      <c r="BJ25" s="2">
        <v>211709.476666667</v>
      </c>
      <c r="BK25" s="2">
        <v>0.57466606305698698</v>
      </c>
      <c r="BL25" s="4">
        <v>17669.16</v>
      </c>
      <c r="BM25" s="4">
        <v>0.92936854898896304</v>
      </c>
      <c r="BN25" s="2">
        <v>929845.48666666704</v>
      </c>
      <c r="BO25" s="2">
        <v>0.13852861293072399</v>
      </c>
      <c r="BP25" s="4">
        <v>91151.043333333306</v>
      </c>
      <c r="BQ25" s="4">
        <v>0.80187133389640797</v>
      </c>
      <c r="BR25" s="2">
        <v>466626.64333333302</v>
      </c>
      <c r="BS25" s="2">
        <v>0.35850516489023398</v>
      </c>
      <c r="BT25" s="4">
        <v>557400.77</v>
      </c>
      <c r="BU25" s="4">
        <v>0.64466386458069003</v>
      </c>
    </row>
    <row r="26" spans="1:73" x14ac:dyDescent="0.35">
      <c r="A26" s="5"/>
      <c r="B26" s="5" t="b">
        <v>0</v>
      </c>
      <c r="C26" s="5" t="s">
        <v>26</v>
      </c>
      <c r="D26" s="6">
        <v>46232.697777777801</v>
      </c>
      <c r="E26" s="3" t="s">
        <v>24</v>
      </c>
      <c r="F26" s="4" t="s">
        <v>105</v>
      </c>
      <c r="G26" s="5" t="s">
        <v>101</v>
      </c>
      <c r="H26" s="2">
        <v>29586.86</v>
      </c>
      <c r="I26" s="2">
        <v>1.6723486695071199</v>
      </c>
      <c r="J26" s="2">
        <v>95.0744153062019</v>
      </c>
      <c r="K26" s="4">
        <v>1309.77</v>
      </c>
      <c r="L26" s="4">
        <v>1.72330884992283</v>
      </c>
      <c r="M26" s="4">
        <v>8.0456403491577007</v>
      </c>
      <c r="N26" s="2">
        <v>1177.96333333333</v>
      </c>
      <c r="O26" s="2">
        <v>2.9851464695197998</v>
      </c>
      <c r="P26" s="2">
        <v>28.7185850578905</v>
      </c>
      <c r="Q26" s="4">
        <v>6176.12</v>
      </c>
      <c r="R26" s="4">
        <v>5.9334303760729199</v>
      </c>
      <c r="S26" s="4">
        <v>31.9319607202942</v>
      </c>
      <c r="T26" s="2">
        <v>58.393333333333302</v>
      </c>
      <c r="U26" s="2">
        <v>40.510666628173098</v>
      </c>
      <c r="V26" s="2">
        <v>23.462431046311501</v>
      </c>
      <c r="W26" s="4">
        <v>1550.04666666667</v>
      </c>
      <c r="X26" s="4">
        <v>6.9591691293070799</v>
      </c>
      <c r="Y26" s="4">
        <v>28.292827001848401</v>
      </c>
      <c r="Z26" s="2">
        <v>513.88333333333298</v>
      </c>
      <c r="AA26" s="2">
        <v>4.4990741226004802</v>
      </c>
      <c r="AB26" s="2">
        <v>0.25626405738986702</v>
      </c>
      <c r="AC26" s="4">
        <v>191.87</v>
      </c>
      <c r="AD26" s="4">
        <v>22.186675778299598</v>
      </c>
      <c r="AE26" s="4">
        <v>0.19762804958824701</v>
      </c>
      <c r="AF26" s="2">
        <v>77607.9433333333</v>
      </c>
      <c r="AG26" s="2">
        <v>1.2562610134463801</v>
      </c>
      <c r="AH26" s="2">
        <v>14.5024162041785</v>
      </c>
      <c r="AI26" s="4">
        <v>76.746666666666698</v>
      </c>
      <c r="AJ26" s="4">
        <v>27.158288550431799</v>
      </c>
      <c r="AK26" s="4">
        <v>1.7929273719763002E-2</v>
      </c>
      <c r="AL26" s="2">
        <v>285.303333333333</v>
      </c>
      <c r="AM26" s="2">
        <v>16.735251201486498</v>
      </c>
      <c r="AN26" s="2">
        <v>0.245139136953617</v>
      </c>
      <c r="AO26" s="4">
        <v>68567.736666666693</v>
      </c>
      <c r="AP26" s="4">
        <v>1.74134291616925</v>
      </c>
      <c r="AQ26" s="4">
        <v>26.4070068034687</v>
      </c>
      <c r="AR26" s="2">
        <v>4231.72</v>
      </c>
      <c r="AS26" s="2">
        <v>3.6764267609869901</v>
      </c>
      <c r="AT26" s="2">
        <v>10.3408001048271</v>
      </c>
      <c r="AU26" s="4">
        <v>3.34</v>
      </c>
      <c r="AV26" s="4">
        <v>86.602540378443905</v>
      </c>
      <c r="AW26" s="4">
        <v>4.3141388251036403E-3</v>
      </c>
      <c r="AX26" s="2">
        <v>6081.94333333333</v>
      </c>
      <c r="AY26" s="2">
        <v>2.8965307395202302</v>
      </c>
      <c r="AZ26" s="2">
        <v>1.29550036880104</v>
      </c>
      <c r="BA26" s="4">
        <v>5.01</v>
      </c>
      <c r="BB26" s="4">
        <v>0</v>
      </c>
      <c r="BC26" s="4">
        <v>8.9366621265032295E-3</v>
      </c>
      <c r="BD26" s="2">
        <v>63.4</v>
      </c>
      <c r="BE26" s="2">
        <v>48.241986954281799</v>
      </c>
      <c r="BF26" s="2">
        <v>0.14349108089558299</v>
      </c>
      <c r="BG26" s="4">
        <v>7177.8366666666698</v>
      </c>
      <c r="BH26" s="4">
        <v>2.9259173036678598</v>
      </c>
      <c r="BI26" s="4">
        <v>0.954297432112865</v>
      </c>
      <c r="BJ26" s="2">
        <v>212251.316666667</v>
      </c>
      <c r="BK26" s="2">
        <v>1.64872263817743</v>
      </c>
      <c r="BL26" s="4">
        <v>17786.066666666698</v>
      </c>
      <c r="BM26" s="4">
        <v>0.82456758488003601</v>
      </c>
      <c r="BN26" s="2">
        <v>933137.94333333301</v>
      </c>
      <c r="BO26" s="2">
        <v>0.89698038092991095</v>
      </c>
      <c r="BP26" s="4">
        <v>90758.123333333293</v>
      </c>
      <c r="BQ26" s="4">
        <v>0.365697707796386</v>
      </c>
      <c r="BR26" s="2">
        <v>465366.68</v>
      </c>
      <c r="BS26" s="2">
        <v>1.7450611892265999</v>
      </c>
      <c r="BT26" s="4">
        <v>553618.04666666698</v>
      </c>
      <c r="BU26" s="4">
        <v>0.36085832021054798</v>
      </c>
    </row>
    <row r="27" spans="1:73" x14ac:dyDescent="0.35">
      <c r="A27" s="5"/>
      <c r="B27" s="5" t="b">
        <v>0</v>
      </c>
      <c r="C27" s="5" t="s">
        <v>0</v>
      </c>
      <c r="D27" s="6">
        <v>46232.700844907398</v>
      </c>
      <c r="E27" s="3" t="s">
        <v>24</v>
      </c>
      <c r="F27" s="4" t="s">
        <v>105</v>
      </c>
      <c r="G27" s="5" t="s">
        <v>85</v>
      </c>
      <c r="H27" s="2">
        <v>3664.3133333333299</v>
      </c>
      <c r="I27" s="2">
        <v>3.23040568027288</v>
      </c>
      <c r="J27" s="2">
        <v>2.6246681744160201</v>
      </c>
      <c r="K27" s="4">
        <v>33.366666666666703</v>
      </c>
      <c r="L27" s="4">
        <v>17.320508075688799</v>
      </c>
      <c r="M27" s="4" t="s">
        <v>29</v>
      </c>
      <c r="N27" s="2">
        <v>15.016666666666699</v>
      </c>
      <c r="O27" s="2">
        <v>33.329639284133798</v>
      </c>
      <c r="P27" s="2" t="s">
        <v>29</v>
      </c>
      <c r="Q27" s="4">
        <v>4169.97</v>
      </c>
      <c r="R27" s="4">
        <v>2.7195036699575001</v>
      </c>
      <c r="S27" s="4">
        <v>2.8322473556493799</v>
      </c>
      <c r="T27" s="2">
        <v>11.68</v>
      </c>
      <c r="U27" s="2">
        <v>24.764767539726201</v>
      </c>
      <c r="V27" s="2" t="s">
        <v>29</v>
      </c>
      <c r="W27" s="4">
        <v>722.44666666666706</v>
      </c>
      <c r="X27" s="4">
        <v>11.285601694095201</v>
      </c>
      <c r="Y27" s="4" t="s">
        <v>29</v>
      </c>
      <c r="Z27" s="2">
        <v>183.52666666666701</v>
      </c>
      <c r="AA27" s="2">
        <v>27.589994972957498</v>
      </c>
      <c r="AB27" s="2">
        <v>6.4065044693392401E-2</v>
      </c>
      <c r="AC27" s="4">
        <v>36.706666666666699</v>
      </c>
      <c r="AD27" s="4">
        <v>34.307096177911802</v>
      </c>
      <c r="AE27" s="4" t="s">
        <v>29</v>
      </c>
      <c r="AF27" s="2">
        <v>3936.3366666666702</v>
      </c>
      <c r="AG27" s="2">
        <v>4.1458814367757899</v>
      </c>
      <c r="AH27" s="2">
        <v>0.24575544938587901</v>
      </c>
      <c r="AI27" s="4">
        <v>23.36</v>
      </c>
      <c r="AJ27" s="4">
        <v>75.233773656872998</v>
      </c>
      <c r="AK27" s="4">
        <v>1.53726276556023E-3</v>
      </c>
      <c r="AL27" s="2">
        <v>120.12666666666701</v>
      </c>
      <c r="AM27" s="2">
        <v>7.2188809394761897</v>
      </c>
      <c r="AN27" s="2">
        <v>6.6692768298458896E-2</v>
      </c>
      <c r="AO27" s="4">
        <v>312</v>
      </c>
      <c r="AP27" s="4">
        <v>19.340421626607199</v>
      </c>
      <c r="AQ27" s="4">
        <v>3.1592450170286002E-2</v>
      </c>
      <c r="AR27" s="2">
        <v>910.99</v>
      </c>
      <c r="AS27" s="2">
        <v>7.2053435963361903</v>
      </c>
      <c r="AT27" s="2">
        <v>0.879463907572687</v>
      </c>
      <c r="AU27" s="4">
        <v>5.0066666666666704</v>
      </c>
      <c r="AV27" s="4">
        <v>99.966727679775602</v>
      </c>
      <c r="AW27" s="4">
        <v>8.61966659466816E-3</v>
      </c>
      <c r="AX27" s="2">
        <v>101.62333333333299</v>
      </c>
      <c r="AY27" s="2">
        <v>27.086646865815599</v>
      </c>
      <c r="AZ27" s="2">
        <v>1.4276949835438099E-2</v>
      </c>
      <c r="BA27" s="4">
        <v>3.34</v>
      </c>
      <c r="BB27" s="4">
        <v>86.602540378443905</v>
      </c>
      <c r="BC27" s="4">
        <v>5.9577747510021596E-3</v>
      </c>
      <c r="BD27" s="2">
        <v>3.34</v>
      </c>
      <c r="BE27" s="2">
        <v>86.602540378443905</v>
      </c>
      <c r="BF27" s="2" t="s">
        <v>29</v>
      </c>
      <c r="BG27" s="4">
        <v>358.71666666666698</v>
      </c>
      <c r="BH27" s="4">
        <v>7.9347169640954904</v>
      </c>
      <c r="BI27" s="4" t="s">
        <v>29</v>
      </c>
      <c r="BJ27" s="2">
        <v>211842.16333333301</v>
      </c>
      <c r="BK27" s="2">
        <v>0.99144577242340504</v>
      </c>
      <c r="BL27" s="4">
        <v>17400.3066666667</v>
      </c>
      <c r="BM27" s="4">
        <v>1.50584262518489</v>
      </c>
      <c r="BN27" s="2">
        <v>925780.48666666704</v>
      </c>
      <c r="BO27" s="2">
        <v>1.24226125240181</v>
      </c>
      <c r="BP27" s="4">
        <v>90895.656666666706</v>
      </c>
      <c r="BQ27" s="4">
        <v>0.75021625989213303</v>
      </c>
      <c r="BR27" s="2">
        <v>468259.79333333299</v>
      </c>
      <c r="BS27" s="2">
        <v>0.60387623357110698</v>
      </c>
      <c r="BT27" s="4">
        <v>553612.01</v>
      </c>
      <c r="BU27" s="4">
        <v>0.60352290898472805</v>
      </c>
    </row>
    <row r="28" spans="1:73" x14ac:dyDescent="0.35">
      <c r="A28" s="5"/>
      <c r="B28" s="5" t="b">
        <v>0</v>
      </c>
      <c r="C28" s="5" t="s">
        <v>19</v>
      </c>
      <c r="D28" s="6">
        <v>46232.703865740703</v>
      </c>
      <c r="E28" s="3" t="s">
        <v>24</v>
      </c>
      <c r="F28" s="4" t="s">
        <v>105</v>
      </c>
      <c r="G28" s="5" t="s">
        <v>88</v>
      </c>
      <c r="H28" s="2">
        <v>3607.56</v>
      </c>
      <c r="I28" s="2">
        <v>3.40073984577359</v>
      </c>
      <c r="J28" s="2">
        <v>2.42226401316517</v>
      </c>
      <c r="K28" s="4">
        <v>41.71</v>
      </c>
      <c r="L28" s="4">
        <v>48.496473929250797</v>
      </c>
      <c r="M28" s="4" t="s">
        <v>29</v>
      </c>
      <c r="N28" s="2">
        <v>10.0133333333333</v>
      </c>
      <c r="O28" s="2">
        <v>86.544882229057393</v>
      </c>
      <c r="P28" s="2" t="s">
        <v>29</v>
      </c>
      <c r="Q28" s="4">
        <v>4069.85</v>
      </c>
      <c r="R28" s="4">
        <v>1.5406978530669899</v>
      </c>
      <c r="S28" s="4">
        <v>1.3799814223601199</v>
      </c>
      <c r="T28" s="2">
        <v>10.0133333333333</v>
      </c>
      <c r="U28" s="2">
        <v>86.544882229057393</v>
      </c>
      <c r="V28" s="2" t="s">
        <v>29</v>
      </c>
      <c r="W28" s="4">
        <v>824.22666666666703</v>
      </c>
      <c r="X28" s="4">
        <v>2.7384473269758098</v>
      </c>
      <c r="Y28" s="4" t="s">
        <v>29</v>
      </c>
      <c r="Z28" s="2">
        <v>196.87333333333299</v>
      </c>
      <c r="AA28" s="2">
        <v>9.6267920769576296</v>
      </c>
      <c r="AB28" s="2">
        <v>7.18300345209191E-2</v>
      </c>
      <c r="AC28" s="4">
        <v>40.04</v>
      </c>
      <c r="AD28" s="4">
        <v>66.143782776614799</v>
      </c>
      <c r="AE28" s="4">
        <v>2.14584518217819E-3</v>
      </c>
      <c r="AF28" s="2">
        <v>4074.8533333333298</v>
      </c>
      <c r="AG28" s="2">
        <v>2.3921790659981399</v>
      </c>
      <c r="AH28" s="2">
        <v>0.27256068976140702</v>
      </c>
      <c r="AI28" s="4">
        <v>1.67</v>
      </c>
      <c r="AJ28" s="4">
        <v>173.20508075688801</v>
      </c>
      <c r="AK28" s="4" t="s">
        <v>29</v>
      </c>
      <c r="AL28" s="2">
        <v>78.4166666666667</v>
      </c>
      <c r="AM28" s="2">
        <v>25.794857342015099</v>
      </c>
      <c r="AN28" s="2">
        <v>2.1631936240218301E-2</v>
      </c>
      <c r="AO28" s="4">
        <v>330.35333333333301</v>
      </c>
      <c r="AP28" s="4">
        <v>10.6061763602457</v>
      </c>
      <c r="AQ28" s="4">
        <v>3.8684554000252801E-2</v>
      </c>
      <c r="AR28" s="2">
        <v>882.62666666666701</v>
      </c>
      <c r="AS28" s="2">
        <v>12.686159515672999</v>
      </c>
      <c r="AT28" s="2">
        <v>0.79865184747100404</v>
      </c>
      <c r="AU28" s="4">
        <v>1.67</v>
      </c>
      <c r="AV28" s="4">
        <v>173.20508075688801</v>
      </c>
      <c r="AW28" s="4">
        <v>0</v>
      </c>
      <c r="AX28" s="2">
        <v>69.966666666666697</v>
      </c>
      <c r="AY28" s="2">
        <v>18.899124058946398</v>
      </c>
      <c r="AZ28" s="2">
        <v>7.4948273570889998E-3</v>
      </c>
      <c r="BA28" s="4">
        <v>0</v>
      </c>
      <c r="BB28" s="4" t="s">
        <v>35</v>
      </c>
      <c r="BC28" s="4">
        <v>0</v>
      </c>
      <c r="BD28" s="2">
        <v>5.0066666666666704</v>
      </c>
      <c r="BE28" s="2">
        <v>99.966727679775602</v>
      </c>
      <c r="BF28" s="2" t="s">
        <v>29</v>
      </c>
      <c r="BG28" s="4">
        <v>348.70333333333298</v>
      </c>
      <c r="BH28" s="4">
        <v>14.732165670006699</v>
      </c>
      <c r="BI28" s="4" t="s">
        <v>29</v>
      </c>
      <c r="BJ28" s="2">
        <v>211012.92333333299</v>
      </c>
      <c r="BK28" s="2">
        <v>0.62716021980847203</v>
      </c>
      <c r="BL28" s="4">
        <v>17456.996666666699</v>
      </c>
      <c r="BM28" s="4">
        <v>0.73978932666512498</v>
      </c>
      <c r="BN28" s="2">
        <v>920234.63666666695</v>
      </c>
      <c r="BO28" s="2">
        <v>0.40035962188977098</v>
      </c>
      <c r="BP28" s="4">
        <v>90178.776666666701</v>
      </c>
      <c r="BQ28" s="4">
        <v>0.72709797980813196</v>
      </c>
      <c r="BR28" s="2">
        <v>470511.35333333298</v>
      </c>
      <c r="BS28" s="2">
        <v>0.25611838521699298</v>
      </c>
      <c r="BT28" s="4">
        <v>553045.08333333302</v>
      </c>
      <c r="BU28" s="4">
        <v>0.36061463945058903</v>
      </c>
    </row>
    <row r="29" spans="1:73" x14ac:dyDescent="0.35">
      <c r="A29" s="5"/>
      <c r="B29" s="5" t="b">
        <v>0</v>
      </c>
      <c r="C29" s="5" t="s">
        <v>96</v>
      </c>
      <c r="D29" s="6">
        <v>46232.706944444399</v>
      </c>
      <c r="E29" s="3" t="s">
        <v>24</v>
      </c>
      <c r="F29" s="4" t="s">
        <v>105</v>
      </c>
      <c r="G29" s="5" t="s">
        <v>2</v>
      </c>
      <c r="H29" s="2">
        <v>1743.6</v>
      </c>
      <c r="I29" s="2">
        <v>2.9470933333912699</v>
      </c>
      <c r="J29" s="2" t="s">
        <v>29</v>
      </c>
      <c r="K29" s="4">
        <v>1.67</v>
      </c>
      <c r="L29" s="4">
        <v>173.20508075688801</v>
      </c>
      <c r="M29" s="4" t="s">
        <v>29</v>
      </c>
      <c r="N29" s="2">
        <v>3.33666666666667</v>
      </c>
      <c r="O29" s="2">
        <v>173.20508075688801</v>
      </c>
      <c r="P29" s="2" t="s">
        <v>29</v>
      </c>
      <c r="Q29" s="4">
        <v>3759.4333333333302</v>
      </c>
      <c r="R29" s="4">
        <v>5.1851553986068897</v>
      </c>
      <c r="S29" s="4" t="s">
        <v>29</v>
      </c>
      <c r="T29" s="2">
        <v>11.6833333333333</v>
      </c>
      <c r="U29" s="2">
        <v>49.465987400183899</v>
      </c>
      <c r="V29" s="2" t="s">
        <v>29</v>
      </c>
      <c r="W29" s="4">
        <v>630.67999999999995</v>
      </c>
      <c r="X29" s="4">
        <v>6.4965715441513803</v>
      </c>
      <c r="Y29" s="4" t="s">
        <v>29</v>
      </c>
      <c r="Z29" s="2">
        <v>50.053333333333299</v>
      </c>
      <c r="AA29" s="2">
        <v>26.4519758977268</v>
      </c>
      <c r="AB29" s="2" t="s">
        <v>29</v>
      </c>
      <c r="AC29" s="4">
        <v>8.3433333333333302</v>
      </c>
      <c r="AD29" s="4">
        <v>124.865418167136</v>
      </c>
      <c r="AE29" s="4" t="s">
        <v>29</v>
      </c>
      <c r="AF29" s="2">
        <v>448.81333333333299</v>
      </c>
      <c r="AG29" s="2">
        <v>10.1188159006247</v>
      </c>
      <c r="AH29" s="2" t="s">
        <v>29</v>
      </c>
      <c r="AI29" s="4">
        <v>5.0066666666666704</v>
      </c>
      <c r="AJ29" s="4">
        <v>99.966727679775602</v>
      </c>
      <c r="AK29" s="4" t="s">
        <v>29</v>
      </c>
      <c r="AL29" s="2">
        <v>10.01</v>
      </c>
      <c r="AM29" s="2">
        <v>100</v>
      </c>
      <c r="AN29" s="2" t="s">
        <v>29</v>
      </c>
      <c r="AO29" s="4">
        <v>73.41</v>
      </c>
      <c r="AP29" s="4">
        <v>38.7708575503083</v>
      </c>
      <c r="AQ29" s="4" t="s">
        <v>29</v>
      </c>
      <c r="AR29" s="2">
        <v>473.84</v>
      </c>
      <c r="AS29" s="2">
        <v>7.6415402614958001</v>
      </c>
      <c r="AT29" s="2" t="s">
        <v>29</v>
      </c>
      <c r="AU29" s="4">
        <v>1.67</v>
      </c>
      <c r="AV29" s="4">
        <v>173.20508075688801</v>
      </c>
      <c r="AW29" s="4">
        <v>0</v>
      </c>
      <c r="AX29" s="2">
        <v>13.33</v>
      </c>
      <c r="AY29" s="2">
        <v>78.039952020846897</v>
      </c>
      <c r="AZ29" s="2" t="s">
        <v>29</v>
      </c>
      <c r="BA29" s="4">
        <v>1.67</v>
      </c>
      <c r="BB29" s="4">
        <v>173.20508075688801</v>
      </c>
      <c r="BC29" s="4">
        <v>2.9788873755010798E-3</v>
      </c>
      <c r="BD29" s="2">
        <v>0</v>
      </c>
      <c r="BE29" s="2" t="s">
        <v>35</v>
      </c>
      <c r="BF29" s="2" t="s">
        <v>29</v>
      </c>
      <c r="BG29" s="4">
        <v>412.113333333333</v>
      </c>
      <c r="BH29" s="4">
        <v>3.9051127689234799</v>
      </c>
      <c r="BI29" s="4" t="s">
        <v>29</v>
      </c>
      <c r="BJ29" s="2">
        <v>195517.10333333301</v>
      </c>
      <c r="BK29" s="2">
        <v>0.13231891893879699</v>
      </c>
      <c r="BL29" s="4">
        <v>16526.63</v>
      </c>
      <c r="BM29" s="4">
        <v>1.39599194698853</v>
      </c>
      <c r="BN29" s="2">
        <v>872285.86</v>
      </c>
      <c r="BO29" s="2">
        <v>0.351256812952982</v>
      </c>
      <c r="BP29" s="4">
        <v>89031.7</v>
      </c>
      <c r="BQ29" s="4">
        <v>1.1244919535336999</v>
      </c>
      <c r="BR29" s="2">
        <v>472451.84333333297</v>
      </c>
      <c r="BS29" s="2">
        <v>1.45085293924336</v>
      </c>
      <c r="BT29" s="4">
        <v>552244.4</v>
      </c>
      <c r="BU29" s="4">
        <v>0.37276947631416901</v>
      </c>
    </row>
    <row r="30" spans="1:73" x14ac:dyDescent="0.35">
      <c r="A30" s="5"/>
      <c r="B30" s="5" t="b">
        <v>0</v>
      </c>
      <c r="C30" s="5" t="s">
        <v>11</v>
      </c>
      <c r="D30" s="6">
        <v>46232.709965277798</v>
      </c>
      <c r="E30" s="3" t="s">
        <v>24</v>
      </c>
      <c r="F30" s="4" t="s">
        <v>105</v>
      </c>
      <c r="G30" s="5" t="s">
        <v>84</v>
      </c>
      <c r="H30" s="2">
        <v>1676.86666666667</v>
      </c>
      <c r="I30" s="2">
        <v>6.5469423741175801</v>
      </c>
      <c r="J30" s="2" t="s">
        <v>29</v>
      </c>
      <c r="K30" s="4">
        <v>3.34</v>
      </c>
      <c r="L30" s="4">
        <v>86.602540378443905</v>
      </c>
      <c r="M30" s="4" t="s">
        <v>29</v>
      </c>
      <c r="N30" s="2">
        <v>6.6766666666666703</v>
      </c>
      <c r="O30" s="2">
        <v>114.53988312768401</v>
      </c>
      <c r="P30" s="2" t="s">
        <v>29</v>
      </c>
      <c r="Q30" s="4">
        <v>3647.6266666666702</v>
      </c>
      <c r="R30" s="4">
        <v>3.5260712417689501</v>
      </c>
      <c r="S30" s="4" t="s">
        <v>29</v>
      </c>
      <c r="T30" s="2">
        <v>3.34</v>
      </c>
      <c r="U30" s="2">
        <v>86.602540378443905</v>
      </c>
      <c r="V30" s="2" t="s">
        <v>29</v>
      </c>
      <c r="W30" s="4">
        <v>680.73333333333301</v>
      </c>
      <c r="X30" s="4">
        <v>7.4633554382693097</v>
      </c>
      <c r="Y30" s="4" t="s">
        <v>29</v>
      </c>
      <c r="Z30" s="2">
        <v>65.069999999999993</v>
      </c>
      <c r="AA30" s="2">
        <v>46.793202046981101</v>
      </c>
      <c r="AB30" s="2" t="s">
        <v>29</v>
      </c>
      <c r="AC30" s="4">
        <v>6.6766666666666703</v>
      </c>
      <c r="AD30" s="4">
        <v>43.236415565873102</v>
      </c>
      <c r="AE30" s="4" t="s">
        <v>29</v>
      </c>
      <c r="AF30" s="2">
        <v>427.12</v>
      </c>
      <c r="AG30" s="2">
        <v>13.7335962336366</v>
      </c>
      <c r="AH30" s="2" t="s">
        <v>29</v>
      </c>
      <c r="AI30" s="4">
        <v>6.6733333333333302</v>
      </c>
      <c r="AJ30" s="4">
        <v>86.602540378443905</v>
      </c>
      <c r="AK30" s="4" t="s">
        <v>29</v>
      </c>
      <c r="AL30" s="2">
        <v>5.0066666666666704</v>
      </c>
      <c r="AM30" s="2">
        <v>99.966727679775602</v>
      </c>
      <c r="AN30" s="2" t="s">
        <v>29</v>
      </c>
      <c r="AO30" s="4">
        <v>58.393333333333302</v>
      </c>
      <c r="AP30" s="4">
        <v>21.5658033514765</v>
      </c>
      <c r="AQ30" s="4" t="s">
        <v>29</v>
      </c>
      <c r="AR30" s="2">
        <v>378.73666666666702</v>
      </c>
      <c r="AS30" s="2">
        <v>26.476622608495202</v>
      </c>
      <c r="AT30" s="2" t="s">
        <v>29</v>
      </c>
      <c r="AU30" s="4">
        <v>0</v>
      </c>
      <c r="AV30" s="4" t="s">
        <v>35</v>
      </c>
      <c r="AW30" s="4" t="s">
        <v>29</v>
      </c>
      <c r="AX30" s="2">
        <v>14.9933333333333</v>
      </c>
      <c r="AY30" s="2">
        <v>33.314812144291501</v>
      </c>
      <c r="AZ30" s="2" t="s">
        <v>29</v>
      </c>
      <c r="BA30" s="4">
        <v>0</v>
      </c>
      <c r="BB30" s="4" t="s">
        <v>35</v>
      </c>
      <c r="BC30" s="4">
        <v>0</v>
      </c>
      <c r="BD30" s="2">
        <v>0</v>
      </c>
      <c r="BE30" s="2" t="s">
        <v>35</v>
      </c>
      <c r="BF30" s="2" t="s">
        <v>29</v>
      </c>
      <c r="BG30" s="4">
        <v>338.69333333333299</v>
      </c>
      <c r="BH30" s="4">
        <v>14.045715412408001</v>
      </c>
      <c r="BI30" s="4" t="s">
        <v>29</v>
      </c>
      <c r="BJ30" s="2">
        <v>194841.846666667</v>
      </c>
      <c r="BK30" s="2">
        <v>0.53097837412665905</v>
      </c>
      <c r="BL30" s="4">
        <v>16272.7833333333</v>
      </c>
      <c r="BM30" s="4">
        <v>1.98034551625518</v>
      </c>
      <c r="BN30" s="2">
        <v>865132.98</v>
      </c>
      <c r="BO30" s="2">
        <v>0.17291128653664101</v>
      </c>
      <c r="BP30" s="4">
        <v>86735.883333333302</v>
      </c>
      <c r="BQ30" s="4">
        <v>0.93305312769536597</v>
      </c>
      <c r="BR30" s="2">
        <v>468736.24</v>
      </c>
      <c r="BS30" s="2">
        <v>0.71116003992087196</v>
      </c>
      <c r="BT30" s="4">
        <v>549763.97666666703</v>
      </c>
      <c r="BU30" s="4">
        <v>0.474148927657916</v>
      </c>
    </row>
    <row r="32" spans="1:73" x14ac:dyDescent="0.35">
      <c r="AT32" t="s">
        <v>159</v>
      </c>
      <c r="AU32" t="s">
        <v>160</v>
      </c>
    </row>
    <row r="33" spans="45:47" x14ac:dyDescent="0.35">
      <c r="AS33" s="5" t="s">
        <v>73</v>
      </c>
      <c r="AT33" s="4">
        <v>12.8814399667126</v>
      </c>
      <c r="AU33" s="10">
        <v>128814.399667126</v>
      </c>
    </row>
    <row r="34" spans="45:47" x14ac:dyDescent="0.35">
      <c r="AS34" s="5" t="s">
        <v>48</v>
      </c>
      <c r="AT34" s="4">
        <v>34.5939583484084</v>
      </c>
      <c r="AU34" s="10">
        <v>345939.583484084</v>
      </c>
    </row>
    <row r="35" spans="45:47" x14ac:dyDescent="0.35">
      <c r="AS35" s="5" t="s">
        <v>36</v>
      </c>
      <c r="AT35" s="4">
        <v>18.451828972851601</v>
      </c>
      <c r="AU35" s="10">
        <v>184518.28972851601</v>
      </c>
    </row>
    <row r="36" spans="45:47" x14ac:dyDescent="0.35">
      <c r="AS36" s="5" t="s">
        <v>32</v>
      </c>
      <c r="AT36" s="4">
        <v>19.001644773093599</v>
      </c>
      <c r="AU36" s="10">
        <v>190016.44773093599</v>
      </c>
    </row>
    <row r="37" spans="45:47" x14ac:dyDescent="0.35">
      <c r="AS37" s="5" t="s">
        <v>59</v>
      </c>
      <c r="AT37" s="4">
        <v>31.788454229076802</v>
      </c>
      <c r="AU37" s="10">
        <v>317884.542290768</v>
      </c>
    </row>
    <row r="38" spans="45:47" x14ac:dyDescent="0.35">
      <c r="AS38" s="5" t="s">
        <v>46</v>
      </c>
      <c r="AT38" s="4">
        <v>11.7824073179686</v>
      </c>
      <c r="AU38" s="10">
        <v>117824.07317968601</v>
      </c>
    </row>
    <row r="39" spans="45:47" x14ac:dyDescent="0.35">
      <c r="AS39" s="5" t="s">
        <v>44</v>
      </c>
      <c r="AT39" s="4">
        <v>31.056944808393201</v>
      </c>
      <c r="AU39" s="10">
        <v>310569.44808393199</v>
      </c>
    </row>
    <row r="40" spans="45:47" x14ac:dyDescent="0.35">
      <c r="AS40" s="5" t="s">
        <v>109</v>
      </c>
      <c r="AT40" s="4">
        <v>14.280656923043599</v>
      </c>
      <c r="AU40" s="10">
        <v>142806.569230436</v>
      </c>
    </row>
    <row r="41" spans="45:47" x14ac:dyDescent="0.35">
      <c r="AS41" s="5" t="s">
        <v>74</v>
      </c>
      <c r="AT41" s="4">
        <v>16.421756113741999</v>
      </c>
      <c r="AU41" s="10">
        <v>164217.56113741998</v>
      </c>
    </row>
    <row r="42" spans="45:47" x14ac:dyDescent="0.35">
      <c r="AS42" s="5" t="s">
        <v>67</v>
      </c>
      <c r="AT42" s="4">
        <v>17.918150091748998</v>
      </c>
      <c r="AU42" s="10">
        <v>179181.50091748999</v>
      </c>
    </row>
    <row r="43" spans="45:47" x14ac:dyDescent="0.35">
      <c r="AS43" s="5" t="s">
        <v>34</v>
      </c>
      <c r="AT43" s="4">
        <v>17.137600048268698</v>
      </c>
      <c r="AU43" s="10">
        <v>171376.00048268697</v>
      </c>
    </row>
    <row r="44" spans="45:47" x14ac:dyDescent="0.35">
      <c r="AS44" s="5" t="s">
        <v>63</v>
      </c>
      <c r="AT44" s="4">
        <v>16.848535633955301</v>
      </c>
      <c r="AU44" s="10">
        <v>168485.35633955302</v>
      </c>
    </row>
  </sheetData>
  <mergeCells count="25">
    <mergeCell ref="BL1:BM1"/>
    <mergeCell ref="BN1:BO1"/>
    <mergeCell ref="BP1:BQ1"/>
    <mergeCell ref="BR1:BS1"/>
    <mergeCell ref="BT1:BU1"/>
    <mergeCell ref="AX1:AZ1"/>
    <mergeCell ref="BA1:BC1"/>
    <mergeCell ref="BD1:BF1"/>
    <mergeCell ref="BG1:BI1"/>
    <mergeCell ref="BJ1:BK1"/>
    <mergeCell ref="AI1:AK1"/>
    <mergeCell ref="AL1:AN1"/>
    <mergeCell ref="AO1:AQ1"/>
    <mergeCell ref="AR1:AT1"/>
    <mergeCell ref="AU1:AW1"/>
    <mergeCell ref="T1:V1"/>
    <mergeCell ref="W1:Y1"/>
    <mergeCell ref="Z1:AB1"/>
    <mergeCell ref="AC1:AE1"/>
    <mergeCell ref="AF1:AH1"/>
    <mergeCell ref="A1:G1"/>
    <mergeCell ref="H1:J1"/>
    <mergeCell ref="K1:M1"/>
    <mergeCell ref="N1:P1"/>
    <mergeCell ref="Q1:S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xr:uid="{00000000-0002-0000-0000-000000000000}">
          <x14:formula1>
            <xm:f>ValueList_Helper!$A$1:$A$20</xm:f>
          </x14:formula1>
          <xm:sqref>E3:E30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E3E1-3A49-44DB-AAAA-6E01F3326D6E}">
  <sheetPr>
    <outlinePr summaryBelow="0"/>
  </sheetPr>
  <dimension ref="A1:AD58"/>
  <sheetViews>
    <sheetView topLeftCell="B3" zoomScale="70" zoomScaleNormal="70" workbookViewId="0">
      <selection activeCell="G30" sqref="G30:K35"/>
    </sheetView>
  </sheetViews>
  <sheetFormatPr defaultColWidth="9.1796875" defaultRowHeight="14.5" x14ac:dyDescent="0.35"/>
  <cols>
    <col min="1" max="1" width="12.453125" customWidth="1"/>
    <col min="2" max="2" width="5.26953125" bestFit="1" customWidth="1"/>
    <col min="3" max="3" width="9.54296875" bestFit="1" customWidth="1"/>
    <col min="4" max="4" width="4.1796875" bestFit="1" customWidth="1"/>
    <col min="5" max="5" width="4.7265625" bestFit="1" customWidth="1"/>
    <col min="6" max="6" width="5.7265625" bestFit="1" customWidth="1"/>
    <col min="7" max="10" width="11" customWidth="1"/>
    <col min="11" max="11" width="12.81640625" bestFit="1" customWidth="1"/>
    <col min="12" max="12" width="13.81640625" bestFit="1" customWidth="1"/>
    <col min="13" max="24" width="11" customWidth="1"/>
    <col min="25" max="25" width="13.1796875" bestFit="1" customWidth="1"/>
    <col min="26" max="26" width="11" customWidth="1"/>
    <col min="27" max="27" width="12" bestFit="1" customWidth="1"/>
    <col min="28" max="28" width="12" customWidth="1"/>
    <col min="29" max="29" width="11" customWidth="1"/>
  </cols>
  <sheetData>
    <row r="1" spans="1:30" ht="18" customHeight="1" x14ac:dyDescent="0.35">
      <c r="A1" s="7" t="s">
        <v>24</v>
      </c>
      <c r="B1" s="26" t="s">
        <v>124</v>
      </c>
      <c r="C1" s="27"/>
      <c r="D1" s="27"/>
      <c r="E1" s="27"/>
      <c r="F1" s="28"/>
      <c r="G1" s="7" t="s">
        <v>107</v>
      </c>
      <c r="H1" s="7" t="s">
        <v>9</v>
      </c>
      <c r="I1" s="7" t="s">
        <v>66</v>
      </c>
      <c r="J1" s="7" t="s">
        <v>52</v>
      </c>
      <c r="K1" s="7" t="s">
        <v>12</v>
      </c>
      <c r="L1" s="7" t="s">
        <v>16</v>
      </c>
      <c r="M1" s="7" t="s">
        <v>87</v>
      </c>
      <c r="N1" s="7" t="s">
        <v>15</v>
      </c>
      <c r="O1" s="26" t="s">
        <v>78</v>
      </c>
      <c r="P1" s="27"/>
      <c r="Q1" s="28"/>
      <c r="R1" s="7" t="s">
        <v>64</v>
      </c>
      <c r="S1" s="7" t="s">
        <v>51</v>
      </c>
      <c r="T1" s="26" t="s">
        <v>69</v>
      </c>
      <c r="U1" s="27"/>
      <c r="V1" s="28"/>
      <c r="W1" s="7" t="s">
        <v>68</v>
      </c>
      <c r="X1" s="7" t="s">
        <v>1</v>
      </c>
      <c r="Y1" s="7" t="s">
        <v>17</v>
      </c>
      <c r="Z1" s="7" t="s">
        <v>83</v>
      </c>
      <c r="AA1" s="7" t="s">
        <v>30</v>
      </c>
      <c r="AB1" s="45" t="s">
        <v>115</v>
      </c>
      <c r="AC1" s="46"/>
      <c r="AD1" s="46"/>
    </row>
    <row r="2" spans="1:30" ht="18" customHeight="1" x14ac:dyDescent="0.35">
      <c r="A2" s="1" t="s">
        <v>99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138</v>
      </c>
      <c r="G2" s="1" t="s">
        <v>49</v>
      </c>
      <c r="H2" s="1" t="s">
        <v>49</v>
      </c>
      <c r="I2" s="1" t="s">
        <v>49</v>
      </c>
      <c r="J2" s="1" t="s">
        <v>49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137</v>
      </c>
      <c r="P2" s="1" t="s">
        <v>49</v>
      </c>
      <c r="Q2" s="1" t="s">
        <v>185</v>
      </c>
      <c r="R2" s="1" t="s">
        <v>49</v>
      </c>
      <c r="S2" s="1" t="s">
        <v>49</v>
      </c>
      <c r="T2" s="1" t="s">
        <v>137</v>
      </c>
      <c r="U2" s="1" t="s">
        <v>49</v>
      </c>
      <c r="V2" s="1" t="s">
        <v>140</v>
      </c>
      <c r="W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137</v>
      </c>
      <c r="AC2" s="1" t="s">
        <v>49</v>
      </c>
      <c r="AD2" s="1" t="s">
        <v>184</v>
      </c>
    </row>
    <row r="3" spans="1:30" x14ac:dyDescent="0.35">
      <c r="A3" s="5" t="s">
        <v>73</v>
      </c>
      <c r="B3" s="8">
        <v>25</v>
      </c>
      <c r="C3" s="8">
        <v>30</v>
      </c>
      <c r="D3" s="8" t="s">
        <v>125</v>
      </c>
      <c r="E3" s="8">
        <v>7</v>
      </c>
      <c r="F3" s="13">
        <v>0.03</v>
      </c>
      <c r="G3" s="10">
        <v>411338.96539980097</v>
      </c>
      <c r="H3" s="10">
        <v>87640.416324544698</v>
      </c>
      <c r="I3" s="10">
        <v>66500.380311229601</v>
      </c>
      <c r="J3" s="10">
        <v>1905243.2275134199</v>
      </c>
      <c r="K3" s="10">
        <v>117312.155231557</v>
      </c>
      <c r="L3" s="10">
        <v>202400.00654491401</v>
      </c>
      <c r="M3" s="10">
        <v>1329.86116991212</v>
      </c>
      <c r="N3" s="10">
        <v>837.78087602600806</v>
      </c>
      <c r="O3" s="10">
        <f>P3*F3</f>
        <v>1917.7244320179959</v>
      </c>
      <c r="P3" s="10">
        <v>63924.147733933198</v>
      </c>
      <c r="Q3" s="10">
        <f>(O3/$AC$32)*100</f>
        <v>68.004691400634869</v>
      </c>
      <c r="R3" s="10">
        <v>35.862641348355801</v>
      </c>
      <c r="S3" s="10">
        <v>90.10005738809069</v>
      </c>
      <c r="T3" s="10">
        <f t="shared" ref="T3:T18" si="0">U3*F3</f>
        <v>3864.4319900137798</v>
      </c>
      <c r="U3" s="10">
        <v>128814.399667126</v>
      </c>
      <c r="V3" s="10">
        <f t="shared" ref="V3:V14" si="1">(T3/$Y$26)*100</f>
        <v>81.395234925221189</v>
      </c>
      <c r="W3" s="10">
        <v>120051.163624765</v>
      </c>
      <c r="X3" s="10">
        <v>86.196665946681605</v>
      </c>
      <c r="Y3" s="10">
        <v>39842.952134166502</v>
      </c>
      <c r="Z3" s="10">
        <v>119.096036190193</v>
      </c>
      <c r="AA3" s="10">
        <v>913.14085565990797</v>
      </c>
      <c r="AB3" s="10">
        <f>AC3*F3</f>
        <v>310.14250804871995</v>
      </c>
      <c r="AC3" s="10">
        <v>10338.083601623999</v>
      </c>
      <c r="AD3" s="10">
        <f>(AB3/$AC$41)*100</f>
        <v>6.348721142265827</v>
      </c>
    </row>
    <row r="4" spans="1:30" x14ac:dyDescent="0.35">
      <c r="A4" s="5" t="s">
        <v>48</v>
      </c>
      <c r="B4" s="8">
        <v>90</v>
      </c>
      <c r="C4" s="8">
        <v>5</v>
      </c>
      <c r="D4" s="8" t="s">
        <v>126</v>
      </c>
      <c r="E4" s="8">
        <v>7</v>
      </c>
      <c r="F4" s="13">
        <v>0.01</v>
      </c>
      <c r="G4" s="10">
        <v>547988.04660382995</v>
      </c>
      <c r="H4" s="10">
        <v>103967.267514855</v>
      </c>
      <c r="I4" s="10">
        <v>314293.73609000701</v>
      </c>
      <c r="J4" s="10">
        <v>1968716.7642441499</v>
      </c>
      <c r="K4" s="10">
        <v>58656.077615778697</v>
      </c>
      <c r="L4" s="10">
        <v>154515.22238779001</v>
      </c>
      <c r="M4" s="10">
        <v>1669.60856448864</v>
      </c>
      <c r="N4" s="10">
        <v>2062.1572200732398</v>
      </c>
      <c r="O4" s="10">
        <f t="shared" ref="O4:O19" si="2">P4*F4</f>
        <v>2167.5206318974501</v>
      </c>
      <c r="P4" s="10">
        <v>216752.06318974501</v>
      </c>
      <c r="Q4" s="10">
        <f t="shared" ref="Q4:Q14" si="3">(O4/$AC$32)*100</f>
        <v>76.862749003821406</v>
      </c>
      <c r="R4" s="10">
        <v>158.80272350487698</v>
      </c>
      <c r="S4" s="10">
        <v>1441.9970415632799</v>
      </c>
      <c r="T4" s="10">
        <f t="shared" si="0"/>
        <v>3459.3958348408401</v>
      </c>
      <c r="U4" s="10">
        <v>345939.583484084</v>
      </c>
      <c r="V4" s="10">
        <f t="shared" si="1"/>
        <v>72.864094232694171</v>
      </c>
      <c r="W4" s="10">
        <v>55956.059695415897</v>
      </c>
      <c r="X4" s="10">
        <v>258.58999784004499</v>
      </c>
      <c r="Y4" s="10">
        <v>10052.202421424199</v>
      </c>
      <c r="Z4" s="10">
        <v>119.096036190193</v>
      </c>
      <c r="AA4" s="10">
        <v>956.665122493284</v>
      </c>
      <c r="AB4" s="10">
        <f t="shared" ref="AB4:AB19" si="4">AC4*F4</f>
        <v>28.510730661345701</v>
      </c>
      <c r="AC4" s="10">
        <v>2851.0730661345701</v>
      </c>
      <c r="AD4" s="10">
        <f t="shared" ref="AD4:AD14" si="5">(AB4/$AC$41)*100</f>
        <v>0.58362421736364445</v>
      </c>
    </row>
    <row r="5" spans="1:30" x14ac:dyDescent="0.35">
      <c r="A5" s="5" t="s">
        <v>36</v>
      </c>
      <c r="B5" s="8">
        <v>25</v>
      </c>
      <c r="C5" s="8">
        <v>5</v>
      </c>
      <c r="D5" s="8" t="s">
        <v>127</v>
      </c>
      <c r="E5" s="8">
        <v>12</v>
      </c>
      <c r="F5" s="13">
        <v>0.02</v>
      </c>
      <c r="G5" s="10">
        <v>412231.98787091399</v>
      </c>
      <c r="H5" s="10">
        <v>95738.739086566493</v>
      </c>
      <c r="I5" s="10">
        <v>119022.860489089</v>
      </c>
      <c r="J5" s="10">
        <v>1642851.4198575399</v>
      </c>
      <c r="K5" s="10">
        <v>127097.93441421</v>
      </c>
      <c r="L5" s="10">
        <v>149078.265690239</v>
      </c>
      <c r="M5" s="10">
        <v>1028.9193313917399</v>
      </c>
      <c r="N5" s="10">
        <v>1160.0009885818799</v>
      </c>
      <c r="O5" s="10">
        <f t="shared" si="2"/>
        <v>1964.4683719611257</v>
      </c>
      <c r="P5" s="10">
        <v>98223.418598056291</v>
      </c>
      <c r="Q5" s="10">
        <f t="shared" si="3"/>
        <v>69.662284721974231</v>
      </c>
      <c r="R5" s="10" t="s">
        <v>29</v>
      </c>
      <c r="S5" s="10">
        <v>342.50265620229101</v>
      </c>
      <c r="T5" s="10">
        <f t="shared" si="0"/>
        <v>3690.3657945703203</v>
      </c>
      <c r="U5" s="10">
        <v>184518.28972851601</v>
      </c>
      <c r="V5" s="10">
        <f t="shared" si="1"/>
        <v>77.728937030143129</v>
      </c>
      <c r="W5" s="10">
        <v>98986.083645128194</v>
      </c>
      <c r="X5" s="10">
        <v>172.47944244875399</v>
      </c>
      <c r="Y5" s="10">
        <v>29184.0793233765</v>
      </c>
      <c r="Z5" s="10">
        <v>29.788873755010798</v>
      </c>
      <c r="AA5" s="10">
        <v>1087.0641734252099</v>
      </c>
      <c r="AB5" s="10">
        <f t="shared" si="4"/>
        <v>193.78525114436741</v>
      </c>
      <c r="AC5" s="10">
        <v>9689.2625572183697</v>
      </c>
      <c r="AD5" s="10">
        <f t="shared" si="5"/>
        <v>3.9668490744463623</v>
      </c>
    </row>
    <row r="6" spans="1:30" x14ac:dyDescent="0.35">
      <c r="A6" s="5" t="s">
        <v>32</v>
      </c>
      <c r="B6" s="8">
        <v>90</v>
      </c>
      <c r="C6" s="8">
        <v>30</v>
      </c>
      <c r="D6" s="8" t="s">
        <v>127</v>
      </c>
      <c r="E6" s="8">
        <v>2</v>
      </c>
      <c r="F6" s="13">
        <v>0.02</v>
      </c>
      <c r="G6" s="10">
        <v>550547.16464638093</v>
      </c>
      <c r="H6" s="10">
        <v>133096.02331111699</v>
      </c>
      <c r="I6" s="10">
        <v>177475.666622552</v>
      </c>
      <c r="J6" s="10">
        <v>2074380.7634442102</v>
      </c>
      <c r="K6" s="10">
        <v>234624.31046311502</v>
      </c>
      <c r="L6" s="10">
        <v>290547.83548226499</v>
      </c>
      <c r="M6" s="10">
        <v>1252.1918785553701</v>
      </c>
      <c r="N6" s="10">
        <v>1632.55901460117</v>
      </c>
      <c r="O6" s="10">
        <f t="shared" si="2"/>
        <v>2255.4058907926801</v>
      </c>
      <c r="P6" s="10">
        <v>112770.29453963401</v>
      </c>
      <c r="Q6" s="10">
        <f t="shared" si="3"/>
        <v>79.979260328415577</v>
      </c>
      <c r="R6" s="10">
        <v>46.107648194732597</v>
      </c>
      <c r="S6" s="10">
        <v>847.16380897475392</v>
      </c>
      <c r="T6" s="10">
        <f t="shared" si="0"/>
        <v>3800.3289546187198</v>
      </c>
      <c r="U6" s="10">
        <v>190016.44773093599</v>
      </c>
      <c r="V6" s="10">
        <f t="shared" si="1"/>
        <v>80.045054190022881</v>
      </c>
      <c r="W6" s="10">
        <v>66891.567802535603</v>
      </c>
      <c r="X6" s="10">
        <v>86.196665946681605</v>
      </c>
      <c r="Y6" s="10">
        <v>66797.564909411201</v>
      </c>
      <c r="Z6" s="10">
        <v>29.788873755010798</v>
      </c>
      <c r="AA6" s="10">
        <v>1217.46322435714</v>
      </c>
      <c r="AB6" s="10">
        <f t="shared" si="4"/>
        <v>307.28255489611996</v>
      </c>
      <c r="AC6" s="10">
        <v>15364.127744805999</v>
      </c>
      <c r="AD6" s="10">
        <f t="shared" si="5"/>
        <v>6.2901769421816853</v>
      </c>
    </row>
    <row r="7" spans="1:30" x14ac:dyDescent="0.35">
      <c r="A7" s="5" t="s">
        <v>59</v>
      </c>
      <c r="B7" s="8">
        <v>57.5</v>
      </c>
      <c r="C7" s="8">
        <v>30</v>
      </c>
      <c r="D7" s="8" t="s">
        <v>126</v>
      </c>
      <c r="E7" s="8">
        <v>2</v>
      </c>
      <c r="F7" s="13">
        <v>0.01</v>
      </c>
      <c r="G7" s="10">
        <v>503965.31985095399</v>
      </c>
      <c r="H7" s="10">
        <v>108146.89549533099</v>
      </c>
      <c r="I7" s="10">
        <v>144012.65155571699</v>
      </c>
      <c r="J7" s="10">
        <v>1807128.24549822</v>
      </c>
      <c r="K7" s="10">
        <v>205306.037901915</v>
      </c>
      <c r="L7" s="10">
        <v>324282.619181827</v>
      </c>
      <c r="M7" s="10">
        <v>2067.5933827716199</v>
      </c>
      <c r="N7" s="10">
        <v>1954.77912715704</v>
      </c>
      <c r="O7" s="10">
        <f t="shared" si="2"/>
        <v>1725.8721891221301</v>
      </c>
      <c r="P7" s="10">
        <v>172587.21891221299</v>
      </c>
      <c r="Q7" s="10">
        <f t="shared" si="3"/>
        <v>61.201392472579826</v>
      </c>
      <c r="R7" s="10">
        <v>40.990262157581299</v>
      </c>
      <c r="S7" s="10">
        <v>847.19982018873804</v>
      </c>
      <c r="T7" s="10">
        <f>U7*F7</f>
        <v>3178.8454229076801</v>
      </c>
      <c r="U7" s="10">
        <v>317884.542290768</v>
      </c>
      <c r="V7" s="10">
        <f t="shared" si="1"/>
        <v>66.954954999120616</v>
      </c>
      <c r="W7" s="10">
        <v>104881.973515985</v>
      </c>
      <c r="X7" s="10">
        <v>0</v>
      </c>
      <c r="Y7" s="10">
        <v>97968.769698153512</v>
      </c>
      <c r="Z7" s="10">
        <v>29.788873755010798</v>
      </c>
      <c r="AA7" s="10">
        <v>913.05398087580897</v>
      </c>
      <c r="AB7" s="10">
        <f t="shared" si="4"/>
        <v>158.07731639804501</v>
      </c>
      <c r="AC7" s="10">
        <v>15807.7316398045</v>
      </c>
      <c r="AD7" s="10">
        <f t="shared" si="5"/>
        <v>3.2358956759686102</v>
      </c>
    </row>
    <row r="8" spans="1:30" x14ac:dyDescent="0.35">
      <c r="A8" s="5" t="s">
        <v>46</v>
      </c>
      <c r="B8" s="8">
        <v>57.5</v>
      </c>
      <c r="C8" s="8">
        <v>5</v>
      </c>
      <c r="D8" s="8" t="s">
        <v>125</v>
      </c>
      <c r="E8" s="8">
        <v>12</v>
      </c>
      <c r="F8" s="13">
        <v>0.03</v>
      </c>
      <c r="G8" s="10">
        <v>249480.78234083901</v>
      </c>
      <c r="H8" s="10">
        <v>68178.713682277594</v>
      </c>
      <c r="I8" s="10">
        <v>111396.705022209</v>
      </c>
      <c r="J8" s="10">
        <v>1818496.4958056901</v>
      </c>
      <c r="K8" s="10">
        <v>19571.558365304802</v>
      </c>
      <c r="L8" s="10" t="s">
        <v>29</v>
      </c>
      <c r="M8" s="10">
        <v>931.87635162914796</v>
      </c>
      <c r="N8" s="10">
        <v>580.02195274276403</v>
      </c>
      <c r="O8" s="10">
        <f t="shared" si="2"/>
        <v>2105.2371351688889</v>
      </c>
      <c r="P8" s="10">
        <v>70174.571172296302</v>
      </c>
      <c r="Q8" s="10">
        <f t="shared" si="3"/>
        <v>74.654105309418867</v>
      </c>
      <c r="R8" s="10" t="s">
        <v>29</v>
      </c>
      <c r="S8" s="10">
        <v>504.73317520043202</v>
      </c>
      <c r="T8" s="10">
        <f t="shared" si="0"/>
        <v>3534.7221953905801</v>
      </c>
      <c r="U8" s="10">
        <v>117824.07317968601</v>
      </c>
      <c r="V8" s="10">
        <f t="shared" si="1"/>
        <v>74.450668101467599</v>
      </c>
      <c r="W8" s="10">
        <v>103883.71806443001</v>
      </c>
      <c r="X8" s="10">
        <v>0</v>
      </c>
      <c r="Y8" s="10">
        <v>34872.171247534097</v>
      </c>
      <c r="Z8" s="10">
        <v>29.788873755010798</v>
      </c>
      <c r="AA8" s="10">
        <v>869.61658882653194</v>
      </c>
      <c r="AB8" s="10">
        <f t="shared" si="4"/>
        <v>102.1592470393161</v>
      </c>
      <c r="AC8" s="10">
        <v>3405.30823464387</v>
      </c>
      <c r="AD8" s="10">
        <f t="shared" si="5"/>
        <v>2.0912340447526749</v>
      </c>
    </row>
    <row r="9" spans="1:30" x14ac:dyDescent="0.35">
      <c r="A9" s="5" t="s">
        <v>44</v>
      </c>
      <c r="B9" s="8">
        <v>25</v>
      </c>
      <c r="C9" s="8">
        <v>17.5</v>
      </c>
      <c r="D9" s="8" t="s">
        <v>126</v>
      </c>
      <c r="E9" s="8">
        <v>12</v>
      </c>
      <c r="F9" s="13">
        <v>0.01</v>
      </c>
      <c r="G9" s="10">
        <v>697657.99458913703</v>
      </c>
      <c r="H9" s="10">
        <v>89860.435981049406</v>
      </c>
      <c r="I9" s="10">
        <v>352417.74364592106</v>
      </c>
      <c r="J9" s="10">
        <v>1863808.48872691</v>
      </c>
      <c r="K9" s="10">
        <v>9.6219328800846889E-12</v>
      </c>
      <c r="L9" s="10" t="s">
        <v>29</v>
      </c>
      <c r="M9" s="10">
        <v>1213.36692941773</v>
      </c>
      <c r="N9" s="10">
        <v>1804.4412136936401</v>
      </c>
      <c r="O9" s="10">
        <f t="shared" si="2"/>
        <v>1741.6924091270901</v>
      </c>
      <c r="P9" s="10">
        <v>174169.24091270901</v>
      </c>
      <c r="Q9" s="10">
        <f t="shared" si="3"/>
        <v>61.762395482900423</v>
      </c>
      <c r="R9" s="10">
        <v>112.70531008221899</v>
      </c>
      <c r="S9" s="10">
        <v>630.91646900054002</v>
      </c>
      <c r="T9" s="10">
        <f t="shared" si="0"/>
        <v>3105.69448083932</v>
      </c>
      <c r="U9" s="10">
        <v>310569.44808393199</v>
      </c>
      <c r="V9" s="10">
        <f t="shared" si="1"/>
        <v>65.414201240213302</v>
      </c>
      <c r="W9" s="10">
        <v>86956.112991749498</v>
      </c>
      <c r="X9" s="10">
        <v>172.39333189336298</v>
      </c>
      <c r="Y9" s="10">
        <v>81803.123368728993</v>
      </c>
      <c r="Z9" s="10">
        <v>119.096036190193</v>
      </c>
      <c r="AA9" s="10">
        <v>2304.6142725664599</v>
      </c>
      <c r="AB9" s="10">
        <f t="shared" si="4"/>
        <v>499.97623848874201</v>
      </c>
      <c r="AC9" s="10">
        <v>49997.623848874202</v>
      </c>
      <c r="AD9" s="10">
        <f t="shared" si="5"/>
        <v>10.234681262799953</v>
      </c>
    </row>
    <row r="10" spans="1:30" x14ac:dyDescent="0.35">
      <c r="A10" s="5" t="s">
        <v>109</v>
      </c>
      <c r="B10" s="8">
        <v>90</v>
      </c>
      <c r="C10" s="8">
        <v>17.5</v>
      </c>
      <c r="D10" s="8" t="s">
        <v>125</v>
      </c>
      <c r="E10" s="8">
        <v>2</v>
      </c>
      <c r="F10" s="13">
        <v>0.03</v>
      </c>
      <c r="G10" s="10">
        <v>536371.14619420201</v>
      </c>
      <c r="H10" s="10">
        <v>125519.30601375799</v>
      </c>
      <c r="I10" s="10">
        <v>102078.10493329501</v>
      </c>
      <c r="J10" s="10">
        <v>1392618.3987992101</v>
      </c>
      <c r="K10" s="10">
        <v>175987.76534071501</v>
      </c>
      <c r="L10" s="10">
        <v>239397.83382825201</v>
      </c>
      <c r="M10" s="10">
        <v>1174.5419802801</v>
      </c>
      <c r="N10" s="10">
        <v>1031.1215269402601</v>
      </c>
      <c r="O10" s="10">
        <f t="shared" si="2"/>
        <v>2191.9671014275618</v>
      </c>
      <c r="P10" s="10">
        <v>73065.570047585396</v>
      </c>
      <c r="Q10" s="10">
        <f t="shared" si="3"/>
        <v>77.729648641993549</v>
      </c>
      <c r="R10" s="10">
        <v>35.862641348355801</v>
      </c>
      <c r="S10" s="10">
        <v>1261.76091557311</v>
      </c>
      <c r="T10" s="10">
        <f t="shared" si="0"/>
        <v>4284.1970769130794</v>
      </c>
      <c r="U10" s="10">
        <v>142806.569230436</v>
      </c>
      <c r="V10" s="10">
        <f t="shared" si="1"/>
        <v>90.236606166807604</v>
      </c>
      <c r="W10" s="10">
        <v>89524.548005722798</v>
      </c>
      <c r="X10" s="10" t="s">
        <v>29</v>
      </c>
      <c r="Y10" s="10">
        <v>35769.251021657801</v>
      </c>
      <c r="Z10" s="10">
        <v>0</v>
      </c>
      <c r="AA10" s="10">
        <v>1347.8622752890801</v>
      </c>
      <c r="AB10" s="10">
        <f t="shared" si="4"/>
        <v>263.99564301059968</v>
      </c>
      <c r="AC10" s="10">
        <v>8799.8547670199896</v>
      </c>
      <c r="AD10" s="10">
        <f t="shared" si="5"/>
        <v>5.4040793401469793</v>
      </c>
    </row>
    <row r="11" spans="1:30" x14ac:dyDescent="0.35">
      <c r="A11" s="5" t="s">
        <v>74</v>
      </c>
      <c r="B11" s="8">
        <v>57.5</v>
      </c>
      <c r="C11" s="8">
        <v>17.5</v>
      </c>
      <c r="D11" s="8" t="s">
        <v>127</v>
      </c>
      <c r="E11" s="8">
        <v>7</v>
      </c>
      <c r="F11" s="13">
        <v>0.02</v>
      </c>
      <c r="G11" s="10">
        <v>395197.63178622298</v>
      </c>
      <c r="H11" s="10">
        <v>87770.621990811211</v>
      </c>
      <c r="I11" s="10">
        <v>132999.914400148</v>
      </c>
      <c r="J11" s="10">
        <v>1876175.18395123</v>
      </c>
      <c r="K11" s="10">
        <v>156416.20697540999</v>
      </c>
      <c r="L11" s="10">
        <v>15230.435275108101</v>
      </c>
      <c r="M11" s="10">
        <v>766.86062125346302</v>
      </c>
      <c r="N11" s="10">
        <v>1052.6228956656898</v>
      </c>
      <c r="O11" s="10">
        <f t="shared" si="2"/>
        <v>1942.6197304797261</v>
      </c>
      <c r="P11" s="10">
        <v>97130.986523986299</v>
      </c>
      <c r="Q11" s="10">
        <f t="shared" si="3"/>
        <v>68.887507023646535</v>
      </c>
      <c r="R11" s="10">
        <v>30.7350205391303</v>
      </c>
      <c r="S11" s="10">
        <v>342.50265620229101</v>
      </c>
      <c r="T11" s="10">
        <f t="shared" si="0"/>
        <v>3284.3512227483998</v>
      </c>
      <c r="U11" s="10">
        <v>164217.56113741998</v>
      </c>
      <c r="V11" s="10">
        <f t="shared" si="1"/>
        <v>69.177188275886891</v>
      </c>
      <c r="W11" s="10">
        <v>49204.847914491998</v>
      </c>
      <c r="X11" s="10">
        <v>129.33805419771801</v>
      </c>
      <c r="Y11" s="10">
        <v>53051.037467444003</v>
      </c>
      <c r="Z11" s="10">
        <v>89.307162435182008</v>
      </c>
      <c r="AA11" s="10">
        <v>1130.50156547449</v>
      </c>
      <c r="AB11" s="10">
        <f t="shared" si="4"/>
        <v>119.14607514680139</v>
      </c>
      <c r="AC11" s="10">
        <v>5957.3037573400698</v>
      </c>
      <c r="AD11" s="10">
        <f t="shared" si="5"/>
        <v>2.4389601124385858</v>
      </c>
    </row>
    <row r="12" spans="1:30" x14ac:dyDescent="0.35">
      <c r="A12" s="5" t="s">
        <v>133</v>
      </c>
      <c r="B12" s="8">
        <v>57.5</v>
      </c>
      <c r="C12" s="8">
        <v>17.5</v>
      </c>
      <c r="D12" s="8" t="s">
        <v>127</v>
      </c>
      <c r="E12" s="8">
        <v>7</v>
      </c>
      <c r="F12" s="13">
        <v>0.02</v>
      </c>
      <c r="G12" s="10">
        <v>949137.37833896803</v>
      </c>
      <c r="H12" s="10">
        <v>153603.024348301</v>
      </c>
      <c r="I12" s="10">
        <v>194842.687111543</v>
      </c>
      <c r="J12" s="10">
        <v>2025668.25570449</v>
      </c>
      <c r="K12" s="10">
        <v>391060.04993190296</v>
      </c>
      <c r="L12" s="10">
        <v>528871.75623231207</v>
      </c>
      <c r="M12" s="10">
        <v>1291.0168276930001</v>
      </c>
      <c r="N12" s="10">
        <v>7754.8269869701107</v>
      </c>
      <c r="O12" s="10">
        <f t="shared" si="2"/>
        <v>2286.1251929550199</v>
      </c>
      <c r="P12" s="10">
        <v>114306.25964775099</v>
      </c>
      <c r="Q12" s="10">
        <f t="shared" si="3"/>
        <v>81.068601752404462</v>
      </c>
      <c r="R12" s="10">
        <v>117.82269611937001</v>
      </c>
      <c r="S12" s="10">
        <v>1640.3107969734401</v>
      </c>
      <c r="T12" s="10">
        <f t="shared" si="0"/>
        <v>3583.6300183497997</v>
      </c>
      <c r="U12" s="10">
        <v>179181.50091748999</v>
      </c>
      <c r="V12" s="10">
        <f t="shared" si="1"/>
        <v>75.480797173407254</v>
      </c>
      <c r="W12" s="10">
        <v>158142.050193295</v>
      </c>
      <c r="X12" s="10">
        <v>129.33805419771801</v>
      </c>
      <c r="Y12" s="10">
        <v>55954.238648591403</v>
      </c>
      <c r="Z12" s="10">
        <v>89.307162435182008</v>
      </c>
      <c r="AA12" s="10">
        <v>1174.0258323078701</v>
      </c>
      <c r="AB12" s="10">
        <f t="shared" si="4"/>
        <v>133.44098866096621</v>
      </c>
      <c r="AC12" s="10">
        <v>6672.0494330483107</v>
      </c>
      <c r="AD12" s="10">
        <f t="shared" si="5"/>
        <v>2.7315817856984896</v>
      </c>
    </row>
    <row r="13" spans="1:30" x14ac:dyDescent="0.35">
      <c r="A13" s="5" t="s">
        <v>134</v>
      </c>
      <c r="B13" s="8">
        <v>57.5</v>
      </c>
      <c r="C13" s="8">
        <v>17.5</v>
      </c>
      <c r="D13" s="8" t="s">
        <v>127</v>
      </c>
      <c r="E13" s="8">
        <v>7</v>
      </c>
      <c r="F13" s="13">
        <v>0.02</v>
      </c>
      <c r="G13" s="10">
        <v>518853.66400160303</v>
      </c>
      <c r="H13" s="10">
        <v>101877.453524617</v>
      </c>
      <c r="I13" s="10">
        <v>160954.868444577</v>
      </c>
      <c r="J13" s="10">
        <v>1812203.15002473</v>
      </c>
      <c r="K13" s="10">
        <v>136883.71359686198</v>
      </c>
      <c r="L13" s="10">
        <v>265521.74771648704</v>
      </c>
      <c r="M13" s="10">
        <v>757.12529434682403</v>
      </c>
      <c r="N13" s="10">
        <v>1782.8969280645701</v>
      </c>
      <c r="O13" s="10">
        <f t="shared" si="2"/>
        <v>1938.600266785154</v>
      </c>
      <c r="P13" s="10">
        <v>96930.013339257697</v>
      </c>
      <c r="Q13" s="10">
        <f t="shared" si="3"/>
        <v>68.744972265481209</v>
      </c>
      <c r="R13" s="10" t="s">
        <v>29</v>
      </c>
      <c r="S13" s="10">
        <v>216.319362402183</v>
      </c>
      <c r="T13" s="10">
        <f t="shared" si="0"/>
        <v>3427.5200096537396</v>
      </c>
      <c r="U13" s="10">
        <v>171376.00048268697</v>
      </c>
      <c r="V13" s="10">
        <f t="shared" si="1"/>
        <v>72.192704417517191</v>
      </c>
      <c r="W13" s="10">
        <v>36511.019815924999</v>
      </c>
      <c r="X13" s="10">
        <v>0</v>
      </c>
      <c r="Y13" s="10">
        <v>56208.105840318101</v>
      </c>
      <c r="Z13" s="10">
        <v>29.788873755010798</v>
      </c>
      <c r="AA13" s="10">
        <v>826.17919677725502</v>
      </c>
      <c r="AB13" s="10">
        <f t="shared" si="4"/>
        <v>108.5318043678602</v>
      </c>
      <c r="AC13" s="10">
        <v>5426.5902183930102</v>
      </c>
      <c r="AD13" s="10">
        <f t="shared" si="5"/>
        <v>2.2216824302273728</v>
      </c>
    </row>
    <row r="14" spans="1:30" x14ac:dyDescent="0.35">
      <c r="A14" s="5" t="s">
        <v>135</v>
      </c>
      <c r="B14" s="8">
        <v>57.5</v>
      </c>
      <c r="C14" s="8">
        <v>17.5</v>
      </c>
      <c r="D14" s="8" t="s">
        <v>127</v>
      </c>
      <c r="E14" s="8">
        <v>7</v>
      </c>
      <c r="F14" s="13">
        <v>0.02</v>
      </c>
      <c r="G14" s="10">
        <v>753382.73944191204</v>
      </c>
      <c r="H14" s="10">
        <v>94040.324894724792</v>
      </c>
      <c r="I14" s="10">
        <v>189757.73724464499</v>
      </c>
      <c r="J14" s="10">
        <v>184227.350657125</v>
      </c>
      <c r="K14" s="10">
        <v>254176.33633504101</v>
      </c>
      <c r="L14" s="10">
        <v>448350.01449808403</v>
      </c>
      <c r="M14" s="10">
        <v>1126.00109731731</v>
      </c>
      <c r="N14" s="10">
        <v>923.700517120423</v>
      </c>
      <c r="O14" s="10">
        <f t="shared" si="2"/>
        <v>2067.1217024417197</v>
      </c>
      <c r="P14" s="10">
        <v>103356.08512208599</v>
      </c>
      <c r="Q14" s="10">
        <f>(O14/$AC$32)*100</f>
        <v>73.302488676217166</v>
      </c>
      <c r="R14" s="10">
        <v>122.950316928595</v>
      </c>
      <c r="S14" s="10">
        <v>360.50826319431502</v>
      </c>
      <c r="T14" s="10">
        <f t="shared" si="0"/>
        <v>3369.7071267910605</v>
      </c>
      <c r="U14" s="10">
        <v>168485.35633955302</v>
      </c>
      <c r="V14" s="10">
        <f t="shared" si="1"/>
        <v>70.97501105547272</v>
      </c>
      <c r="W14" s="10">
        <v>47445.768143422101</v>
      </c>
      <c r="X14" s="10">
        <v>43.055277695645103</v>
      </c>
      <c r="Y14" s="10">
        <v>47413.127679387602</v>
      </c>
      <c r="Z14" s="10">
        <v>29.788873755010798</v>
      </c>
      <c r="AA14" s="10">
        <v>652.25587901194797</v>
      </c>
      <c r="AB14" s="10">
        <f t="shared" si="4"/>
        <v>84.474071972827005</v>
      </c>
      <c r="AC14" s="10">
        <v>4223.7035986413503</v>
      </c>
      <c r="AD14" s="10">
        <f t="shared" si="5"/>
        <v>1.7292125806338186</v>
      </c>
    </row>
    <row r="15" spans="1:30" x14ac:dyDescent="0.35">
      <c r="A15" s="5" t="s">
        <v>31</v>
      </c>
      <c r="B15" s="29" t="s">
        <v>144</v>
      </c>
      <c r="C15" s="30"/>
      <c r="D15" s="30"/>
      <c r="E15" s="31"/>
      <c r="F15" s="11">
        <v>0.02</v>
      </c>
      <c r="G15" s="12">
        <v>709636.88294132892</v>
      </c>
      <c r="H15" s="12">
        <v>76407.503043764998</v>
      </c>
      <c r="I15" s="12">
        <v>251179.09124515401</v>
      </c>
      <c r="J15" s="12">
        <v>283249.878003522</v>
      </c>
      <c r="K15" s="12">
        <v>166201.98615806201</v>
      </c>
      <c r="L15" s="12">
        <v>301430.44452982297</v>
      </c>
      <c r="M15" s="12">
        <v>1873.42985092047</v>
      </c>
      <c r="N15" s="12">
        <v>1847.4010342408501</v>
      </c>
      <c r="O15" s="10">
        <f t="shared" si="2"/>
        <v>2376.2088621432199</v>
      </c>
      <c r="P15" s="12">
        <v>118810.44310716099</v>
      </c>
      <c r="Q15" s="12"/>
      <c r="R15" s="12">
        <v>312.48806097260302</v>
      </c>
      <c r="S15" s="12">
        <v>4235.8550560877602</v>
      </c>
      <c r="T15" s="12">
        <f t="shared" si="0"/>
        <v>3932.2879410861001</v>
      </c>
      <c r="U15" s="12">
        <v>196614.39705430501</v>
      </c>
      <c r="V15" s="12"/>
      <c r="W15" s="12">
        <v>119717.810315379</v>
      </c>
      <c r="X15" s="12">
        <v>215.53472014439998</v>
      </c>
      <c r="Y15" s="12">
        <v>46340.606815524399</v>
      </c>
      <c r="Z15" s="12">
        <v>238.13261355053498</v>
      </c>
      <c r="AA15" s="12">
        <v>1521.8724678384801</v>
      </c>
      <c r="AB15" s="10">
        <f t="shared" si="4"/>
        <v>228.32704445631401</v>
      </c>
      <c r="AC15" s="12">
        <v>11416.3522228157</v>
      </c>
    </row>
    <row r="16" spans="1:30" x14ac:dyDescent="0.35">
      <c r="A16" s="5"/>
      <c r="B16" s="29" t="s">
        <v>145</v>
      </c>
      <c r="C16" s="30"/>
      <c r="D16" s="30"/>
      <c r="E16" s="31"/>
      <c r="F16" s="11">
        <v>6.0000000000000001E-3</v>
      </c>
      <c r="G16" s="12"/>
      <c r="H16" s="12"/>
      <c r="I16" s="12"/>
      <c r="J16" s="12"/>
      <c r="K16" s="12"/>
      <c r="L16" s="12"/>
      <c r="M16" s="12"/>
      <c r="N16" s="12"/>
      <c r="O16" s="10">
        <f t="shared" si="2"/>
        <v>0</v>
      </c>
      <c r="P16" s="12"/>
      <c r="Q16" s="12"/>
      <c r="R16" s="12"/>
      <c r="S16" s="12"/>
      <c r="T16" s="12">
        <f>U15*F16</f>
        <v>1179.68638232583</v>
      </c>
      <c r="U16" s="12"/>
      <c r="V16" s="12"/>
      <c r="W16" s="12"/>
      <c r="X16" s="12"/>
      <c r="Y16" s="12"/>
      <c r="Z16" s="12"/>
      <c r="AA16" s="12"/>
      <c r="AB16" s="10">
        <f t="shared" si="4"/>
        <v>0</v>
      </c>
      <c r="AC16" s="12"/>
    </row>
    <row r="17" spans="1:29" x14ac:dyDescent="0.35">
      <c r="A17" s="5" t="s">
        <v>118</v>
      </c>
      <c r="B17" s="29" t="s">
        <v>131</v>
      </c>
      <c r="C17" s="30"/>
      <c r="D17" s="30"/>
      <c r="E17" s="31"/>
      <c r="F17" s="11">
        <v>0.02</v>
      </c>
      <c r="G17" s="12">
        <v>465956.70476122899</v>
      </c>
      <c r="H17" s="12">
        <v>41925.441738235</v>
      </c>
      <c r="I17" s="12">
        <v>512965.57915889897</v>
      </c>
      <c r="J17" s="12">
        <v>119832.24685060501</v>
      </c>
      <c r="K17" s="12">
        <v>58675.6101091573</v>
      </c>
      <c r="L17" s="12">
        <v>173021.744725358</v>
      </c>
      <c r="M17" s="12">
        <v>854464.27071216109</v>
      </c>
      <c r="N17" s="12">
        <v>50229.686523005199</v>
      </c>
      <c r="O17" s="10">
        <f t="shared" si="2"/>
        <v>67595.458606271597</v>
      </c>
      <c r="P17" s="12">
        <v>3379772.9303135797</v>
      </c>
      <c r="Q17" s="12"/>
      <c r="R17" s="12">
        <v>10508.040488686302</v>
      </c>
      <c r="S17" s="12">
        <v>380669.68151149503</v>
      </c>
      <c r="T17" s="12">
        <f t="shared" si="0"/>
        <v>3049.7999180336601</v>
      </c>
      <c r="U17" s="12">
        <v>152489.995901683</v>
      </c>
      <c r="V17" s="12"/>
      <c r="W17" s="12">
        <v>127612.49042821501</v>
      </c>
      <c r="X17" s="12">
        <v>344.78666378672597</v>
      </c>
      <c r="Y17" s="12">
        <v>27580.300530262601</v>
      </c>
      <c r="Z17" s="12">
        <v>89.307162435182008</v>
      </c>
      <c r="AA17" s="12">
        <v>2217.6526136838002</v>
      </c>
      <c r="AB17" s="10">
        <f t="shared" si="4"/>
        <v>408.35046992975003</v>
      </c>
      <c r="AC17" s="12">
        <v>20417.523496487502</v>
      </c>
    </row>
    <row r="18" spans="1:29" x14ac:dyDescent="0.35">
      <c r="A18" s="5" t="s">
        <v>117</v>
      </c>
      <c r="B18" s="29" t="s">
        <v>132</v>
      </c>
      <c r="C18" s="30"/>
      <c r="D18" s="30"/>
      <c r="E18" s="31"/>
      <c r="F18" s="11">
        <v>1.9E-2</v>
      </c>
      <c r="G18" s="12">
        <v>1787199.4994988902</v>
      </c>
      <c r="H18" s="12">
        <v>155823.56587120399</v>
      </c>
      <c r="I18" s="12">
        <v>325308.16569019697</v>
      </c>
      <c r="J18" s="12">
        <v>696078.56587644096</v>
      </c>
      <c r="K18" s="12">
        <v>469287.68591298698</v>
      </c>
      <c r="L18" s="12">
        <v>586545.67114076496</v>
      </c>
      <c r="M18" s="12">
        <v>1433131.0160302399</v>
      </c>
      <c r="N18" s="12">
        <v>77906.411430606604</v>
      </c>
      <c r="O18" s="10">
        <f t="shared" si="2"/>
        <v>107114.27463929827</v>
      </c>
      <c r="P18" s="12">
        <v>5637593.40206833</v>
      </c>
      <c r="Q18" s="12"/>
      <c r="R18" s="12">
        <v>18825.082380338401</v>
      </c>
      <c r="S18" s="12">
        <v>637119.904766288</v>
      </c>
      <c r="T18" s="12">
        <f t="shared" si="0"/>
        <v>2811.6915613010165</v>
      </c>
      <c r="U18" s="12">
        <v>147983.76638426402</v>
      </c>
      <c r="V18" s="12"/>
      <c r="W18" s="12">
        <v>89238.775895197497</v>
      </c>
      <c r="X18" s="12">
        <v>215.53472014439998</v>
      </c>
      <c r="Y18" s="12">
        <v>52178.745254784299</v>
      </c>
      <c r="Z18" s="12">
        <v>148.82545111535302</v>
      </c>
      <c r="AA18" s="12">
        <v>1347.9491500731699</v>
      </c>
      <c r="AB18" s="10">
        <f t="shared" si="4"/>
        <v>258.11090628345738</v>
      </c>
      <c r="AC18" s="12">
        <v>13584.7845412346</v>
      </c>
    </row>
    <row r="19" spans="1:29" x14ac:dyDescent="0.35">
      <c r="A19" s="5" t="s">
        <v>119</v>
      </c>
      <c r="B19" s="29" t="s">
        <v>143</v>
      </c>
      <c r="C19" s="30"/>
      <c r="D19" s="30"/>
      <c r="E19" s="31"/>
      <c r="F19" s="11">
        <v>6.0000000000000001E-3</v>
      </c>
      <c r="G19" s="12">
        <v>950744.15306201903</v>
      </c>
      <c r="H19" s="12">
        <v>80456.403491577003</v>
      </c>
      <c r="I19" s="12">
        <v>287185.85057890503</v>
      </c>
      <c r="J19" s="12">
        <v>319319.60720294202</v>
      </c>
      <c r="K19" s="12">
        <v>234624.31046311502</v>
      </c>
      <c r="L19" s="12">
        <v>282928.27001848404</v>
      </c>
      <c r="M19" s="12">
        <v>2562.64057389867</v>
      </c>
      <c r="N19" s="12">
        <v>1976.2804958824702</v>
      </c>
      <c r="O19" s="10">
        <f t="shared" si="2"/>
        <v>870.14497225071</v>
      </c>
      <c r="P19" s="12">
        <v>145024.16204178499</v>
      </c>
      <c r="Q19" s="12"/>
      <c r="R19" s="12">
        <v>179.29273719763</v>
      </c>
      <c r="S19" s="12">
        <v>2451.3913695361698</v>
      </c>
      <c r="T19" s="12">
        <f>U19*F19</f>
        <v>1584.4204082081221</v>
      </c>
      <c r="U19" s="12">
        <v>264070.06803468702</v>
      </c>
      <c r="V19" s="12"/>
      <c r="W19" s="12">
        <v>103408.00104827099</v>
      </c>
      <c r="X19" s="12">
        <v>43.141388251036403</v>
      </c>
      <c r="Y19" s="12">
        <v>12955.0036880104</v>
      </c>
      <c r="Z19" s="12">
        <v>89.366621265032293</v>
      </c>
      <c r="AA19" s="12">
        <v>1434.9108089558299</v>
      </c>
      <c r="AB19" s="10">
        <f t="shared" si="4"/>
        <v>57.2578459267719</v>
      </c>
      <c r="AC19" s="12">
        <v>9542.9743211286495</v>
      </c>
    </row>
    <row r="21" spans="1:29" x14ac:dyDescent="0.35">
      <c r="L21" s="18" t="s">
        <v>141</v>
      </c>
      <c r="M21" s="18" t="s">
        <v>142</v>
      </c>
    </row>
    <row r="22" spans="1:29" x14ac:dyDescent="0.35">
      <c r="L22" t="s">
        <v>147</v>
      </c>
      <c r="M22">
        <f>T18-T15</f>
        <v>-1120.5963797850836</v>
      </c>
      <c r="Y22" t="s">
        <v>128</v>
      </c>
      <c r="AA22" s="36" t="s">
        <v>165</v>
      </c>
      <c r="AB22" s="36"/>
      <c r="AC22" s="36"/>
    </row>
    <row r="23" spans="1:29" x14ac:dyDescent="0.35">
      <c r="L23" t="s">
        <v>119</v>
      </c>
      <c r="M23">
        <f>T19-T16</f>
        <v>404.73402588229214</v>
      </c>
      <c r="Y23">
        <v>10000</v>
      </c>
      <c r="AA23" s="9" t="s">
        <v>166</v>
      </c>
      <c r="AB23" s="44"/>
      <c r="AC23" t="s">
        <v>167</v>
      </c>
    </row>
    <row r="24" spans="1:29" x14ac:dyDescent="0.35">
      <c r="K24" s="32" t="s">
        <v>146</v>
      </c>
      <c r="L24" s="32"/>
      <c r="M24">
        <f>M22-M23</f>
        <v>-1525.3304056673758</v>
      </c>
      <c r="N24" t="s">
        <v>148</v>
      </c>
      <c r="AA24" s="9" t="s">
        <v>168</v>
      </c>
      <c r="AB24" s="44"/>
      <c r="AC24">
        <v>15888.589122606343</v>
      </c>
    </row>
    <row r="25" spans="1:29" x14ac:dyDescent="0.35">
      <c r="M25">
        <v>1.53</v>
      </c>
      <c r="N25" t="s">
        <v>149</v>
      </c>
      <c r="Y25" t="s">
        <v>139</v>
      </c>
      <c r="AA25" s="9" t="s">
        <v>169</v>
      </c>
      <c r="AB25" s="44"/>
      <c r="AC25">
        <v>1266.261217303397</v>
      </c>
    </row>
    <row r="26" spans="1:29" x14ac:dyDescent="0.35">
      <c r="L26" t="s">
        <v>150</v>
      </c>
      <c r="M26">
        <f>(1525.3304/T15)*100</f>
        <v>38.789895929612491</v>
      </c>
      <c r="Y26" s="14">
        <v>4747.7373749999997</v>
      </c>
      <c r="AA26" s="9" t="s">
        <v>170</v>
      </c>
      <c r="AB26" s="44"/>
      <c r="AC26">
        <v>2945.7674109430968</v>
      </c>
    </row>
    <row r="27" spans="1:29" x14ac:dyDescent="0.35">
      <c r="AA27" s="9" t="s">
        <v>171</v>
      </c>
      <c r="AB27" s="44"/>
      <c r="AC27">
        <v>114.30182500541977</v>
      </c>
    </row>
    <row r="28" spans="1:29" x14ac:dyDescent="0.35">
      <c r="AA28" s="9" t="s">
        <v>172</v>
      </c>
      <c r="AB28" s="44"/>
      <c r="AC28">
        <v>424.19744097382312</v>
      </c>
    </row>
    <row r="29" spans="1:29" x14ac:dyDescent="0.35">
      <c r="AA29" s="9" t="s">
        <v>172</v>
      </c>
      <c r="AB29" s="44"/>
      <c r="AC29">
        <v>746.66311320009834</v>
      </c>
    </row>
    <row r="30" spans="1:29" x14ac:dyDescent="0.35">
      <c r="J30" s="7" t="s">
        <v>136</v>
      </c>
      <c r="K30" s="7" t="s">
        <v>69</v>
      </c>
      <c r="AA30" s="9" t="s">
        <v>173</v>
      </c>
      <c r="AB30" s="44"/>
      <c r="AC30">
        <v>181.44413589301433</v>
      </c>
    </row>
    <row r="31" spans="1:29" x14ac:dyDescent="0.35">
      <c r="G31" s="1" t="s">
        <v>99</v>
      </c>
      <c r="I31" t="s">
        <v>138</v>
      </c>
      <c r="J31" s="1" t="s">
        <v>137</v>
      </c>
      <c r="K31" s="1" t="s">
        <v>49</v>
      </c>
      <c r="AA31" s="9" t="s">
        <v>174</v>
      </c>
      <c r="AB31" s="44"/>
      <c r="AC31">
        <v>26.99013817001013</v>
      </c>
    </row>
    <row r="32" spans="1:29" x14ac:dyDescent="0.35">
      <c r="G32" s="5" t="s">
        <v>31</v>
      </c>
      <c r="H32" s="15" t="s">
        <v>129</v>
      </c>
      <c r="I32" s="11">
        <v>0.02</v>
      </c>
      <c r="J32" s="16">
        <v>3932.2879410861001</v>
      </c>
      <c r="K32" s="16">
        <v>196614.39705430501</v>
      </c>
      <c r="L32" s="17"/>
      <c r="AA32" s="9" t="s">
        <v>175</v>
      </c>
      <c r="AB32" s="44"/>
      <c r="AC32">
        <v>2819.9884339157411</v>
      </c>
    </row>
    <row r="33" spans="7:29" x14ac:dyDescent="0.35">
      <c r="G33" s="5" t="s">
        <v>118</v>
      </c>
      <c r="H33" s="15" t="s">
        <v>131</v>
      </c>
      <c r="I33" s="11">
        <v>0.02</v>
      </c>
      <c r="J33" s="16">
        <v>3049.7999180336601</v>
      </c>
      <c r="K33" s="16">
        <v>152489.995901683</v>
      </c>
      <c r="L33" s="17"/>
      <c r="AA33" s="9" t="s">
        <v>176</v>
      </c>
      <c r="AB33" s="44"/>
      <c r="AC33">
        <v>1.2051582810341079</v>
      </c>
    </row>
    <row r="34" spans="7:29" x14ac:dyDescent="0.35">
      <c r="G34" s="5" t="s">
        <v>117</v>
      </c>
      <c r="H34" s="15" t="s">
        <v>132</v>
      </c>
      <c r="I34" s="11">
        <v>1.9E-2</v>
      </c>
      <c r="J34" s="16">
        <v>2811.6915613010165</v>
      </c>
      <c r="K34" s="16">
        <v>147983.76638426402</v>
      </c>
      <c r="L34" s="17"/>
      <c r="AA34" s="9" t="s">
        <v>177</v>
      </c>
      <c r="AB34" s="44"/>
      <c r="AC34">
        <v>109.65905183655285</v>
      </c>
    </row>
    <row r="35" spans="7:29" x14ac:dyDescent="0.35">
      <c r="G35" s="5" t="s">
        <v>119</v>
      </c>
      <c r="H35" s="15" t="s">
        <v>130</v>
      </c>
      <c r="I35" s="11">
        <v>6.0000000000000001E-3</v>
      </c>
      <c r="J35" s="16">
        <v>1584.4204082081221</v>
      </c>
      <c r="K35" s="16">
        <v>264070.06803468702</v>
      </c>
      <c r="L35" s="17"/>
      <c r="AA35" s="9" t="s">
        <v>136</v>
      </c>
      <c r="AB35" s="44"/>
      <c r="AC35">
        <v>4747.7623362312688</v>
      </c>
    </row>
    <row r="36" spans="7:29" x14ac:dyDescent="0.35">
      <c r="AA36" s="9" t="s">
        <v>178</v>
      </c>
      <c r="AB36" s="44"/>
      <c r="AC36" t="e">
        <v>#DIV/0!</v>
      </c>
    </row>
    <row r="37" spans="7:29" x14ac:dyDescent="0.35">
      <c r="AA37" s="9" t="s">
        <v>179</v>
      </c>
      <c r="AB37" s="44"/>
      <c r="AC37">
        <v>0.77008866490644412</v>
      </c>
    </row>
    <row r="38" spans="7:29" x14ac:dyDescent="0.35">
      <c r="AA38" s="9" t="s">
        <v>180</v>
      </c>
      <c r="AB38" s="44"/>
      <c r="AC38">
        <v>1931.7866540232928</v>
      </c>
    </row>
    <row r="39" spans="7:29" x14ac:dyDescent="0.35">
      <c r="AA39" s="9" t="s">
        <v>181</v>
      </c>
      <c r="AB39" s="44"/>
      <c r="AC39">
        <v>7.0645739664372306E-2</v>
      </c>
    </row>
    <row r="40" spans="7:29" x14ac:dyDescent="0.35">
      <c r="AA40" s="9" t="s">
        <v>182</v>
      </c>
      <c r="AB40" s="44"/>
      <c r="AC40">
        <v>26.118619331321486</v>
      </c>
    </row>
    <row r="41" spans="7:29" x14ac:dyDescent="0.35">
      <c r="AA41" s="9" t="s">
        <v>183</v>
      </c>
      <c r="AB41" s="44"/>
      <c r="AC41">
        <v>4885.1178229263296</v>
      </c>
    </row>
    <row r="45" spans="7:29" x14ac:dyDescent="0.35">
      <c r="G45" s="26" t="s">
        <v>124</v>
      </c>
      <c r="H45" s="27"/>
      <c r="I45" s="27"/>
      <c r="J45" s="27"/>
      <c r="K45" s="28"/>
      <c r="L45" t="s">
        <v>69</v>
      </c>
    </row>
    <row r="46" spans="7:29" x14ac:dyDescent="0.35">
      <c r="G46" s="1" t="s">
        <v>120</v>
      </c>
      <c r="H46" s="1" t="s">
        <v>121</v>
      </c>
      <c r="I46" s="1" t="s">
        <v>122</v>
      </c>
      <c r="J46" s="1" t="s">
        <v>123</v>
      </c>
      <c r="K46" s="1" t="s">
        <v>138</v>
      </c>
      <c r="L46" t="s">
        <v>137</v>
      </c>
      <c r="M46" t="s">
        <v>49</v>
      </c>
      <c r="N46" t="s">
        <v>140</v>
      </c>
    </row>
    <row r="47" spans="7:29" x14ac:dyDescent="0.35">
      <c r="G47" s="8">
        <v>25</v>
      </c>
      <c r="H47" s="8">
        <v>30</v>
      </c>
      <c r="I47" s="8" t="s">
        <v>125</v>
      </c>
      <c r="J47" s="8">
        <v>7</v>
      </c>
      <c r="K47" s="13">
        <v>0.03</v>
      </c>
      <c r="L47">
        <v>3864.4319900137798</v>
      </c>
      <c r="M47">
        <v>128814.399667126</v>
      </c>
      <c r="N47">
        <v>81.395234925221189</v>
      </c>
    </row>
    <row r="48" spans="7:29" x14ac:dyDescent="0.35">
      <c r="G48" s="8">
        <v>90</v>
      </c>
      <c r="H48" s="8">
        <v>5</v>
      </c>
      <c r="I48" s="8" t="s">
        <v>126</v>
      </c>
      <c r="J48" s="8">
        <v>7</v>
      </c>
      <c r="K48" s="13">
        <v>0.01</v>
      </c>
      <c r="L48">
        <v>3459.3958348408401</v>
      </c>
      <c r="M48">
        <v>345939.583484084</v>
      </c>
      <c r="N48">
        <v>72.864094232694171</v>
      </c>
    </row>
    <row r="49" spans="7:14" x14ac:dyDescent="0.35">
      <c r="G49" s="8">
        <v>25</v>
      </c>
      <c r="H49" s="8">
        <v>5</v>
      </c>
      <c r="I49" s="8" t="s">
        <v>127</v>
      </c>
      <c r="J49" s="8">
        <v>12</v>
      </c>
      <c r="K49" s="13">
        <v>0.02</v>
      </c>
      <c r="L49">
        <v>3690.3657945703203</v>
      </c>
      <c r="M49">
        <v>184518.28972851601</v>
      </c>
      <c r="N49">
        <v>77.728937030143129</v>
      </c>
    </row>
    <row r="50" spans="7:14" x14ac:dyDescent="0.35">
      <c r="G50" s="8">
        <v>90</v>
      </c>
      <c r="H50" s="8">
        <v>30</v>
      </c>
      <c r="I50" s="8" t="s">
        <v>127</v>
      </c>
      <c r="J50" s="8">
        <v>2</v>
      </c>
      <c r="K50" s="13">
        <v>0.02</v>
      </c>
      <c r="L50">
        <v>3800.3289546187198</v>
      </c>
      <c r="M50">
        <v>190016.44773093599</v>
      </c>
      <c r="N50">
        <v>80.045054190022881</v>
      </c>
    </row>
    <row r="51" spans="7:14" x14ac:dyDescent="0.35">
      <c r="G51" s="8">
        <v>57.5</v>
      </c>
      <c r="H51" s="8">
        <v>30</v>
      </c>
      <c r="I51" s="8" t="s">
        <v>126</v>
      </c>
      <c r="J51" s="8">
        <v>2</v>
      </c>
      <c r="K51" s="13">
        <v>0.01</v>
      </c>
      <c r="L51">
        <v>3178.8454229076801</v>
      </c>
      <c r="M51">
        <v>317884.542290768</v>
      </c>
      <c r="N51">
        <v>66.954954999120616</v>
      </c>
    </row>
    <row r="52" spans="7:14" x14ac:dyDescent="0.35">
      <c r="G52" s="8">
        <v>57.5</v>
      </c>
      <c r="H52" s="8">
        <v>5</v>
      </c>
      <c r="I52" s="8" t="s">
        <v>125</v>
      </c>
      <c r="J52" s="8">
        <v>12</v>
      </c>
      <c r="K52" s="13">
        <v>0.03</v>
      </c>
      <c r="L52">
        <v>3534.7221953905801</v>
      </c>
      <c r="M52">
        <v>117824.07317968601</v>
      </c>
      <c r="N52">
        <v>74.450668101467599</v>
      </c>
    </row>
    <row r="53" spans="7:14" x14ac:dyDescent="0.35">
      <c r="G53" s="8">
        <v>25</v>
      </c>
      <c r="H53" s="8">
        <v>17.5</v>
      </c>
      <c r="I53" s="8" t="s">
        <v>126</v>
      </c>
      <c r="J53" s="8">
        <v>12</v>
      </c>
      <c r="K53" s="13">
        <v>0.01</v>
      </c>
      <c r="L53">
        <v>3105.69448083932</v>
      </c>
      <c r="M53">
        <v>310569.44808393199</v>
      </c>
      <c r="N53">
        <v>65.414201240213302</v>
      </c>
    </row>
    <row r="54" spans="7:14" x14ac:dyDescent="0.35">
      <c r="G54" s="8">
        <v>90</v>
      </c>
      <c r="H54" s="8">
        <v>17.5</v>
      </c>
      <c r="I54" s="8" t="s">
        <v>125</v>
      </c>
      <c r="J54" s="8">
        <v>2</v>
      </c>
      <c r="K54" s="13">
        <v>0.03</v>
      </c>
      <c r="L54">
        <v>4284.1970769130794</v>
      </c>
      <c r="M54">
        <v>142806.569230436</v>
      </c>
      <c r="N54">
        <v>90.236606166807604</v>
      </c>
    </row>
    <row r="55" spans="7:14" x14ac:dyDescent="0.35">
      <c r="G55" s="8">
        <v>57.5</v>
      </c>
      <c r="H55" s="8">
        <v>17.5</v>
      </c>
      <c r="I55" s="8" t="s">
        <v>127</v>
      </c>
      <c r="J55" s="8">
        <v>7</v>
      </c>
      <c r="K55" s="13">
        <v>0.02</v>
      </c>
      <c r="L55">
        <v>3284.3512227483998</v>
      </c>
      <c r="M55">
        <v>164217.56113741998</v>
      </c>
      <c r="N55">
        <v>69.177188275886891</v>
      </c>
    </row>
    <row r="56" spans="7:14" x14ac:dyDescent="0.35">
      <c r="G56" s="8">
        <v>57.5</v>
      </c>
      <c r="H56" s="8">
        <v>17.5</v>
      </c>
      <c r="I56" s="8" t="s">
        <v>127</v>
      </c>
      <c r="J56" s="8">
        <v>7</v>
      </c>
      <c r="K56" s="13">
        <v>0.02</v>
      </c>
      <c r="L56">
        <v>3583.6300183497997</v>
      </c>
      <c r="M56">
        <v>179181.50091748999</v>
      </c>
      <c r="N56">
        <v>75.480797173407254</v>
      </c>
    </row>
    <row r="57" spans="7:14" x14ac:dyDescent="0.35">
      <c r="G57" s="8">
        <v>57.5</v>
      </c>
      <c r="H57" s="8">
        <v>17.5</v>
      </c>
      <c r="I57" s="8" t="s">
        <v>127</v>
      </c>
      <c r="J57" s="8">
        <v>7</v>
      </c>
      <c r="K57" s="13">
        <v>0.02</v>
      </c>
      <c r="L57">
        <v>3427.5200096537396</v>
      </c>
      <c r="M57">
        <v>171376.00048268697</v>
      </c>
      <c r="N57">
        <v>72.192704417517191</v>
      </c>
    </row>
    <row r="58" spans="7:14" x14ac:dyDescent="0.35">
      <c r="G58" s="8">
        <v>57.5</v>
      </c>
      <c r="H58" s="8">
        <v>17.5</v>
      </c>
      <c r="I58" s="8" t="s">
        <v>127</v>
      </c>
      <c r="J58" s="8">
        <v>7</v>
      </c>
      <c r="K58" s="13">
        <v>0.02</v>
      </c>
      <c r="L58">
        <v>3369.7071267910605</v>
      </c>
      <c r="M58">
        <v>168485.35633955302</v>
      </c>
      <c r="N58">
        <v>70.97501105547272</v>
      </c>
    </row>
  </sheetData>
  <mergeCells count="12">
    <mergeCell ref="T1:V1"/>
    <mergeCell ref="AA22:AC22"/>
    <mergeCell ref="AB1:AD1"/>
    <mergeCell ref="O1:Q1"/>
    <mergeCell ref="G45:K45"/>
    <mergeCell ref="B1:F1"/>
    <mergeCell ref="B16:E16"/>
    <mergeCell ref="K24:L24"/>
    <mergeCell ref="B15:E15"/>
    <mergeCell ref="B17:E17"/>
    <mergeCell ref="B18:E18"/>
    <mergeCell ref="B19:E19"/>
  </mergeCells>
  <conditionalFormatting sqref="T3:T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3932-24C3-4FA1-AC0E-69613A06495A}">
  <dimension ref="A1:AD52"/>
  <sheetViews>
    <sheetView workbookViewId="0">
      <selection activeCell="J34" sqref="J34"/>
    </sheetView>
  </sheetViews>
  <sheetFormatPr defaultRowHeight="14.5" x14ac:dyDescent="0.35"/>
  <cols>
    <col min="7" max="7" width="10.90625" bestFit="1" customWidth="1"/>
    <col min="8" max="8" width="14" bestFit="1" customWidth="1"/>
    <col min="9" max="9" width="12.54296875" bestFit="1" customWidth="1"/>
    <col min="10" max="10" width="12.54296875" customWidth="1"/>
    <col min="11" max="11" width="10.81640625" bestFit="1" customWidth="1"/>
    <col min="15" max="15" width="10.81640625" bestFit="1" customWidth="1"/>
    <col min="16" max="17" width="10.81640625" customWidth="1"/>
    <col min="18" max="18" width="10.90625" bestFit="1" customWidth="1"/>
    <col min="19" max="19" width="10.90625" customWidth="1"/>
    <col min="20" max="20" width="10.81640625" bestFit="1" customWidth="1"/>
    <col min="21" max="22" width="10.81640625" customWidth="1"/>
    <col min="23" max="25" width="10.81640625" bestFit="1" customWidth="1"/>
    <col min="26" max="26" width="10.81640625" customWidth="1"/>
    <col min="27" max="27" width="11.7265625" bestFit="1" customWidth="1"/>
    <col min="28" max="28" width="11.7265625" customWidth="1"/>
    <col min="29" max="29" width="11.7265625" bestFit="1" customWidth="1"/>
    <col min="30" max="30" width="11.7265625" customWidth="1"/>
  </cols>
  <sheetData>
    <row r="1" spans="1:30" x14ac:dyDescent="0.35">
      <c r="A1" s="7" t="s">
        <v>24</v>
      </c>
      <c r="B1" s="26" t="s">
        <v>124</v>
      </c>
      <c r="C1" s="27"/>
      <c r="D1" s="27"/>
      <c r="E1" s="27"/>
      <c r="F1" s="28"/>
      <c r="G1" s="7" t="s">
        <v>107</v>
      </c>
      <c r="H1" s="7" t="s">
        <v>9</v>
      </c>
      <c r="I1" s="7" t="s">
        <v>66</v>
      </c>
      <c r="J1" s="7"/>
      <c r="K1" s="7" t="s">
        <v>52</v>
      </c>
      <c r="L1" s="7" t="s">
        <v>87</v>
      </c>
      <c r="M1" s="7"/>
      <c r="N1" s="7" t="s">
        <v>15</v>
      </c>
      <c r="O1" s="26" t="s">
        <v>78</v>
      </c>
      <c r="P1" s="27"/>
      <c r="Q1" s="28"/>
      <c r="R1" s="7" t="s">
        <v>64</v>
      </c>
      <c r="S1" s="7"/>
      <c r="T1" s="26" t="s">
        <v>51</v>
      </c>
      <c r="U1" s="28"/>
      <c r="V1" s="24"/>
      <c r="W1" s="26" t="s">
        <v>69</v>
      </c>
      <c r="X1" s="28"/>
      <c r="Y1" s="26" t="s">
        <v>68</v>
      </c>
      <c r="Z1" s="28"/>
      <c r="AA1" s="26" t="s">
        <v>17</v>
      </c>
      <c r="AB1" s="28"/>
      <c r="AC1" s="34" t="s">
        <v>115</v>
      </c>
      <c r="AD1" s="35"/>
    </row>
    <row r="2" spans="1:30" x14ac:dyDescent="0.35">
      <c r="A2" s="1" t="s">
        <v>99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138</v>
      </c>
      <c r="G2" s="1" t="s">
        <v>49</v>
      </c>
      <c r="H2" s="1" t="s">
        <v>49</v>
      </c>
      <c r="I2" s="1" t="s">
        <v>49</v>
      </c>
      <c r="J2" s="1"/>
      <c r="K2" s="1" t="s">
        <v>49</v>
      </c>
      <c r="L2" s="1" t="s">
        <v>49</v>
      </c>
      <c r="M2" s="1"/>
      <c r="N2" s="1" t="s">
        <v>49</v>
      </c>
      <c r="O2" s="1" t="s">
        <v>49</v>
      </c>
      <c r="P2" s="1"/>
      <c r="Q2" s="1" t="s">
        <v>137</v>
      </c>
      <c r="R2" s="1" t="s">
        <v>49</v>
      </c>
      <c r="S2" s="1"/>
      <c r="T2" s="1" t="s">
        <v>49</v>
      </c>
      <c r="U2" s="1" t="s">
        <v>137</v>
      </c>
      <c r="V2" s="1"/>
      <c r="W2" s="1" t="s">
        <v>49</v>
      </c>
      <c r="X2" s="1" t="s">
        <v>137</v>
      </c>
      <c r="Y2" s="1" t="s">
        <v>49</v>
      </c>
      <c r="Z2" s="1" t="s">
        <v>137</v>
      </c>
      <c r="AA2" s="1" t="s">
        <v>49</v>
      </c>
      <c r="AB2" s="1" t="s">
        <v>137</v>
      </c>
      <c r="AC2" s="1" t="s">
        <v>49</v>
      </c>
      <c r="AD2" s="1" t="s">
        <v>137</v>
      </c>
    </row>
    <row r="3" spans="1:30" x14ac:dyDescent="0.35">
      <c r="A3" s="5" t="s">
        <v>73</v>
      </c>
      <c r="B3" s="8">
        <v>25</v>
      </c>
      <c r="C3" s="8">
        <v>30</v>
      </c>
      <c r="D3" s="8" t="s">
        <v>125</v>
      </c>
      <c r="E3" s="8">
        <v>7</v>
      </c>
      <c r="F3" s="13">
        <v>0.03</v>
      </c>
      <c r="G3" s="10">
        <v>411338.96539980097</v>
      </c>
      <c r="H3" s="10">
        <v>87640.416324544698</v>
      </c>
      <c r="I3" s="10">
        <v>66500.380311229601</v>
      </c>
      <c r="J3" s="10"/>
      <c r="K3" s="10">
        <v>1905243.2275134199</v>
      </c>
      <c r="L3" s="10">
        <v>1329.86116991212</v>
      </c>
      <c r="M3" s="10"/>
      <c r="N3" s="10">
        <v>837.78087602600806</v>
      </c>
      <c r="O3" s="10">
        <v>63924.147733933198</v>
      </c>
      <c r="P3" s="10"/>
      <c r="Q3" s="10">
        <f>O3*F3</f>
        <v>1917.7244320179959</v>
      </c>
      <c r="R3" s="10">
        <v>35.862641348355801</v>
      </c>
      <c r="S3" s="10"/>
      <c r="T3" s="10">
        <v>90.10005738809069</v>
      </c>
      <c r="U3" s="10">
        <f t="shared" ref="U3:U14" si="0">T3*F3</f>
        <v>2.7030017216427207</v>
      </c>
      <c r="V3" s="10"/>
      <c r="W3" s="10">
        <v>128814.399667126</v>
      </c>
      <c r="X3" s="10">
        <f t="shared" ref="X3:X14" si="1">W3*F3</f>
        <v>3864.4319900137798</v>
      </c>
      <c r="Y3" s="10">
        <v>120051.163624765</v>
      </c>
      <c r="Z3" s="10">
        <f>Y3*F3</f>
        <v>3601.5349087429499</v>
      </c>
      <c r="AA3" s="10">
        <v>39842.952134166502</v>
      </c>
      <c r="AB3" s="10">
        <f>AA3*F3</f>
        <v>1195.2885640249949</v>
      </c>
      <c r="AC3" s="10">
        <v>10338.083601623999</v>
      </c>
      <c r="AD3" s="20">
        <f>AC3*F3</f>
        <v>310.14250804871995</v>
      </c>
    </row>
    <row r="4" spans="1:30" x14ac:dyDescent="0.35">
      <c r="A4" s="5" t="s">
        <v>48</v>
      </c>
      <c r="B4" s="8">
        <v>90</v>
      </c>
      <c r="C4" s="8">
        <v>5</v>
      </c>
      <c r="D4" s="8" t="s">
        <v>126</v>
      </c>
      <c r="E4" s="8">
        <v>7</v>
      </c>
      <c r="F4" s="13">
        <v>0.01</v>
      </c>
      <c r="G4" s="10">
        <v>547988.04660382995</v>
      </c>
      <c r="H4" s="10">
        <v>103967.267514855</v>
      </c>
      <c r="I4" s="10">
        <v>314293.73609000701</v>
      </c>
      <c r="J4" s="10"/>
      <c r="K4" s="10">
        <v>1968716.7642441499</v>
      </c>
      <c r="L4" s="10">
        <v>1669.60856448864</v>
      </c>
      <c r="M4" s="10"/>
      <c r="N4" s="10">
        <v>2062.1572200732398</v>
      </c>
      <c r="O4" s="10">
        <v>216752.06318974501</v>
      </c>
      <c r="P4" s="10"/>
      <c r="Q4" s="10">
        <f t="shared" ref="Q4:Q14" si="2">O4*F4</f>
        <v>2167.5206318974501</v>
      </c>
      <c r="R4" s="10">
        <v>158.80272350487698</v>
      </c>
      <c r="S4" s="10"/>
      <c r="T4" s="10">
        <v>1441.9970415632799</v>
      </c>
      <c r="U4" s="10">
        <f t="shared" si="0"/>
        <v>14.4199704156328</v>
      </c>
      <c r="V4" s="10"/>
      <c r="W4" s="10">
        <v>345939.583484084</v>
      </c>
      <c r="X4" s="10">
        <f t="shared" si="1"/>
        <v>3459.3958348408401</v>
      </c>
      <c r="Y4" s="10">
        <v>55956.059695415897</v>
      </c>
      <c r="Z4" s="10">
        <f>Y4*F4</f>
        <v>559.560596954159</v>
      </c>
      <c r="AA4" s="10">
        <v>10052.202421424199</v>
      </c>
      <c r="AB4" s="10">
        <f>AA4*F4</f>
        <v>100.52202421424199</v>
      </c>
      <c r="AC4" s="10">
        <v>2851.0730661345701</v>
      </c>
      <c r="AD4" s="20">
        <f>AC4*F4</f>
        <v>28.510730661345701</v>
      </c>
    </row>
    <row r="5" spans="1:30" x14ac:dyDescent="0.35">
      <c r="A5" s="5" t="s">
        <v>36</v>
      </c>
      <c r="B5" s="8">
        <v>25</v>
      </c>
      <c r="C5" s="8">
        <v>5</v>
      </c>
      <c r="D5" s="8" t="s">
        <v>127</v>
      </c>
      <c r="E5" s="8">
        <v>12</v>
      </c>
      <c r="F5" s="13">
        <v>0.02</v>
      </c>
      <c r="G5" s="10">
        <v>412231.98787091399</v>
      </c>
      <c r="H5" s="10">
        <v>95738.739086566493</v>
      </c>
      <c r="I5" s="10">
        <v>119022.860489089</v>
      </c>
      <c r="J5" s="10"/>
      <c r="K5" s="10">
        <v>1642851.4198575399</v>
      </c>
      <c r="L5" s="10">
        <v>1028.9193313917399</v>
      </c>
      <c r="M5" s="10"/>
      <c r="N5" s="10">
        <v>1160.0009885818799</v>
      </c>
      <c r="O5" s="10">
        <v>98223.418598056291</v>
      </c>
      <c r="P5" s="10"/>
      <c r="Q5" s="10">
        <f t="shared" si="2"/>
        <v>1964.4683719611257</v>
      </c>
      <c r="R5" s="10" t="s">
        <v>29</v>
      </c>
      <c r="S5" s="10"/>
      <c r="T5" s="10">
        <v>342.50265620229101</v>
      </c>
      <c r="U5" s="10">
        <f t="shared" si="0"/>
        <v>6.8500531240458207</v>
      </c>
      <c r="V5" s="10"/>
      <c r="W5" s="10">
        <v>184518.28972851601</v>
      </c>
      <c r="X5" s="10">
        <f t="shared" si="1"/>
        <v>3690.3657945703203</v>
      </c>
      <c r="Y5" s="10">
        <v>98986.083645128194</v>
      </c>
      <c r="Z5" s="10">
        <f>Y5*F5</f>
        <v>1979.721672902564</v>
      </c>
      <c r="AA5" s="10">
        <v>29184.0793233765</v>
      </c>
      <c r="AB5" s="10">
        <f>AA5*F5</f>
        <v>583.68158646753</v>
      </c>
      <c r="AC5" s="10">
        <v>9689.2625572183697</v>
      </c>
      <c r="AD5" s="20">
        <f>AC5*F5</f>
        <v>193.78525114436741</v>
      </c>
    </row>
    <row r="6" spans="1:30" x14ac:dyDescent="0.35">
      <c r="A6" s="5" t="s">
        <v>32</v>
      </c>
      <c r="B6" s="8">
        <v>90</v>
      </c>
      <c r="C6" s="8">
        <v>30</v>
      </c>
      <c r="D6" s="8" t="s">
        <v>127</v>
      </c>
      <c r="E6" s="8">
        <v>2</v>
      </c>
      <c r="F6" s="13">
        <v>0.02</v>
      </c>
      <c r="G6" s="10">
        <v>550547.16464638093</v>
      </c>
      <c r="H6" s="10">
        <v>133096.02331111699</v>
      </c>
      <c r="I6" s="10">
        <v>177475.666622552</v>
      </c>
      <c r="J6" s="10"/>
      <c r="K6" s="10">
        <v>2074380.7634442102</v>
      </c>
      <c r="L6" s="10">
        <v>1252.1918785553701</v>
      </c>
      <c r="M6" s="10"/>
      <c r="N6" s="10">
        <v>1632.55901460117</v>
      </c>
      <c r="O6" s="10">
        <v>112770.29453963401</v>
      </c>
      <c r="P6" s="10"/>
      <c r="Q6" s="10">
        <f t="shared" si="2"/>
        <v>2255.4058907926801</v>
      </c>
      <c r="R6" s="10">
        <v>46.107648194732597</v>
      </c>
      <c r="S6" s="10"/>
      <c r="T6" s="10">
        <v>847.16380897475392</v>
      </c>
      <c r="U6" s="10">
        <f t="shared" si="0"/>
        <v>16.943276179495079</v>
      </c>
      <c r="V6" s="10"/>
      <c r="W6" s="10">
        <v>190016.44773093599</v>
      </c>
      <c r="X6" s="10">
        <f t="shared" si="1"/>
        <v>3800.3289546187198</v>
      </c>
      <c r="Y6" s="10">
        <v>66891.567802535603</v>
      </c>
      <c r="Z6" s="10">
        <f>Y6*F6</f>
        <v>1337.831356050712</v>
      </c>
      <c r="AA6" s="10">
        <v>66797.564909411201</v>
      </c>
      <c r="AB6" s="10">
        <f>AA6*F6</f>
        <v>1335.951298188224</v>
      </c>
      <c r="AC6" s="10">
        <v>15364.127744805999</v>
      </c>
      <c r="AD6" s="20">
        <f>AC6*F6</f>
        <v>307.28255489611996</v>
      </c>
    </row>
    <row r="7" spans="1:30" x14ac:dyDescent="0.35">
      <c r="A7" s="5" t="s">
        <v>59</v>
      </c>
      <c r="B7" s="8">
        <v>57.5</v>
      </c>
      <c r="C7" s="8">
        <v>30</v>
      </c>
      <c r="D7" s="8" t="s">
        <v>126</v>
      </c>
      <c r="E7" s="8">
        <v>2</v>
      </c>
      <c r="F7" s="13">
        <v>0.01</v>
      </c>
      <c r="G7" s="10">
        <v>503965.31985095399</v>
      </c>
      <c r="H7" s="10">
        <v>108146.89549533099</v>
      </c>
      <c r="I7" s="10">
        <v>144012.65155571699</v>
      </c>
      <c r="J7" s="10"/>
      <c r="K7" s="10">
        <v>1807128.24549822</v>
      </c>
      <c r="L7" s="10">
        <v>2067.5933827716199</v>
      </c>
      <c r="M7" s="10"/>
      <c r="N7" s="10">
        <v>1954.77912715704</v>
      </c>
      <c r="O7" s="10">
        <v>172587.21891221299</v>
      </c>
      <c r="P7" s="10"/>
      <c r="Q7" s="10">
        <f t="shared" si="2"/>
        <v>1725.8721891221301</v>
      </c>
      <c r="R7" s="10">
        <v>40.990262157581299</v>
      </c>
      <c r="S7" s="10"/>
      <c r="T7" s="10">
        <v>847.19982018873804</v>
      </c>
      <c r="U7" s="10">
        <f t="shared" si="0"/>
        <v>8.4719982018873807</v>
      </c>
      <c r="V7" s="10"/>
      <c r="W7" s="10">
        <v>317884.542290768</v>
      </c>
      <c r="X7" s="10">
        <f t="shared" si="1"/>
        <v>3178.8454229076801</v>
      </c>
      <c r="Y7" s="10">
        <v>104881.973515985</v>
      </c>
      <c r="Z7" s="10">
        <f>Y7*F7</f>
        <v>1048.8197351598499</v>
      </c>
      <c r="AA7" s="10">
        <v>97968.769698153512</v>
      </c>
      <c r="AB7" s="10">
        <f>AA7*F7</f>
        <v>979.68769698153517</v>
      </c>
      <c r="AC7" s="10">
        <v>15807.7316398045</v>
      </c>
      <c r="AD7" s="20">
        <f>AC7*F7</f>
        <v>158.07731639804501</v>
      </c>
    </row>
    <row r="8" spans="1:30" x14ac:dyDescent="0.35">
      <c r="A8" s="5" t="s">
        <v>46</v>
      </c>
      <c r="B8" s="8">
        <v>57.5</v>
      </c>
      <c r="C8" s="8">
        <v>5</v>
      </c>
      <c r="D8" s="8" t="s">
        <v>125</v>
      </c>
      <c r="E8" s="8">
        <v>12</v>
      </c>
      <c r="F8" s="13">
        <v>0.03</v>
      </c>
      <c r="G8" s="10">
        <v>249480.78234083901</v>
      </c>
      <c r="H8" s="10">
        <v>68178.713682277594</v>
      </c>
      <c r="I8" s="10">
        <v>111396.705022209</v>
      </c>
      <c r="J8" s="10"/>
      <c r="K8" s="10">
        <v>1818496.4958056901</v>
      </c>
      <c r="L8" s="10">
        <v>931.87635162914796</v>
      </c>
      <c r="M8" s="10"/>
      <c r="N8" s="10">
        <v>580.02195274276403</v>
      </c>
      <c r="O8" s="10">
        <v>70174.571172296302</v>
      </c>
      <c r="P8" s="10"/>
      <c r="Q8" s="10">
        <f t="shared" si="2"/>
        <v>2105.2371351688889</v>
      </c>
      <c r="R8" s="10" t="s">
        <v>29</v>
      </c>
      <c r="S8" s="10"/>
      <c r="T8" s="10">
        <v>504.73317520043202</v>
      </c>
      <c r="U8" s="10">
        <f t="shared" si="0"/>
        <v>15.14199525601296</v>
      </c>
      <c r="V8" s="10"/>
      <c r="W8" s="10">
        <v>117824.07317968601</v>
      </c>
      <c r="X8" s="10">
        <f t="shared" si="1"/>
        <v>3534.7221953905801</v>
      </c>
      <c r="Y8" s="10">
        <v>103883.71806443001</v>
      </c>
      <c r="Z8" s="10">
        <f>Y8*F8</f>
        <v>3116.5115419329004</v>
      </c>
      <c r="AA8" s="10">
        <v>34872.171247534097</v>
      </c>
      <c r="AB8" s="10">
        <f>AA8*F8</f>
        <v>1046.165137426023</v>
      </c>
      <c r="AC8" s="10">
        <v>3405.30823464387</v>
      </c>
      <c r="AD8" s="20">
        <f>AC8*F8</f>
        <v>102.1592470393161</v>
      </c>
    </row>
    <row r="9" spans="1:30" x14ac:dyDescent="0.35">
      <c r="A9" s="5" t="s">
        <v>44</v>
      </c>
      <c r="B9" s="8">
        <v>25</v>
      </c>
      <c r="C9" s="8">
        <v>17.5</v>
      </c>
      <c r="D9" s="8" t="s">
        <v>126</v>
      </c>
      <c r="E9" s="8">
        <v>12</v>
      </c>
      <c r="F9" s="13">
        <v>0.01</v>
      </c>
      <c r="G9" s="10">
        <v>697657.99458913703</v>
      </c>
      <c r="H9" s="10">
        <v>89860.435981049406</v>
      </c>
      <c r="I9" s="10">
        <v>352417.74364592106</v>
      </c>
      <c r="J9" s="10"/>
      <c r="K9" s="10">
        <v>1863808.48872691</v>
      </c>
      <c r="L9" s="10">
        <v>1213.36692941773</v>
      </c>
      <c r="M9" s="10"/>
      <c r="N9" s="10">
        <v>1804.4412136936401</v>
      </c>
      <c r="O9" s="10">
        <v>174169.24091270901</v>
      </c>
      <c r="P9" s="10"/>
      <c r="Q9" s="10">
        <f t="shared" si="2"/>
        <v>1741.6924091270901</v>
      </c>
      <c r="R9" s="10">
        <v>112.70531008221899</v>
      </c>
      <c r="S9" s="10"/>
      <c r="T9" s="10">
        <v>630.91646900054002</v>
      </c>
      <c r="U9" s="10">
        <f t="shared" si="0"/>
        <v>6.3091646900054004</v>
      </c>
      <c r="V9" s="10"/>
      <c r="W9" s="10">
        <v>310569.44808393199</v>
      </c>
      <c r="X9" s="10">
        <f t="shared" si="1"/>
        <v>3105.69448083932</v>
      </c>
      <c r="Y9" s="10">
        <v>86956.112991749498</v>
      </c>
      <c r="Z9" s="10">
        <f>Y9*F9</f>
        <v>869.56112991749501</v>
      </c>
      <c r="AA9" s="10">
        <v>81803.123368728993</v>
      </c>
      <c r="AB9" s="10">
        <f>AA9*F9</f>
        <v>818.03123368728996</v>
      </c>
      <c r="AC9" s="10">
        <v>49997.623848874202</v>
      </c>
      <c r="AD9" s="20">
        <f>AC9*F9</f>
        <v>499.97623848874201</v>
      </c>
    </row>
    <row r="10" spans="1:30" x14ac:dyDescent="0.35">
      <c r="A10" s="5" t="s">
        <v>109</v>
      </c>
      <c r="B10" s="8">
        <v>90</v>
      </c>
      <c r="C10" s="8">
        <v>17.5</v>
      </c>
      <c r="D10" s="8" t="s">
        <v>125</v>
      </c>
      <c r="E10" s="8">
        <v>2</v>
      </c>
      <c r="F10" s="13">
        <v>0.03</v>
      </c>
      <c r="G10" s="10">
        <v>536371.14619420201</v>
      </c>
      <c r="H10" s="10">
        <v>125519.30601375799</v>
      </c>
      <c r="I10" s="10">
        <v>102078.10493329501</v>
      </c>
      <c r="J10" s="10"/>
      <c r="K10" s="10">
        <v>1392618.3987992101</v>
      </c>
      <c r="L10" s="10">
        <v>1174.5419802801</v>
      </c>
      <c r="M10" s="10"/>
      <c r="N10" s="10">
        <v>1031.1215269402601</v>
      </c>
      <c r="O10" s="10">
        <v>73065.570047585396</v>
      </c>
      <c r="P10" s="10"/>
      <c r="Q10" s="10">
        <f t="shared" si="2"/>
        <v>2191.9671014275618</v>
      </c>
      <c r="R10" s="10">
        <v>35.862641348355801</v>
      </c>
      <c r="S10" s="10"/>
      <c r="T10" s="10">
        <v>1261.76091557311</v>
      </c>
      <c r="U10" s="10">
        <f t="shared" si="0"/>
        <v>37.8528274671933</v>
      </c>
      <c r="V10" s="10"/>
      <c r="W10" s="10">
        <v>142806.569230436</v>
      </c>
      <c r="X10" s="10">
        <f t="shared" si="1"/>
        <v>4284.1970769130794</v>
      </c>
      <c r="Y10" s="10">
        <v>89524.548005722798</v>
      </c>
      <c r="Z10" s="10">
        <f>Y10*F10</f>
        <v>2685.7364401716836</v>
      </c>
      <c r="AA10" s="10">
        <v>35769.251021657801</v>
      </c>
      <c r="AB10" s="10">
        <f>AA10*F10</f>
        <v>1073.0775306497339</v>
      </c>
      <c r="AC10" s="10">
        <v>8799.8547670199896</v>
      </c>
      <c r="AD10" s="20">
        <f>AC10*F10</f>
        <v>263.99564301059968</v>
      </c>
    </row>
    <row r="11" spans="1:30" x14ac:dyDescent="0.35">
      <c r="A11" s="5" t="s">
        <v>74</v>
      </c>
      <c r="B11" s="8">
        <v>57.5</v>
      </c>
      <c r="C11" s="8">
        <v>17.5</v>
      </c>
      <c r="D11" s="8" t="s">
        <v>127</v>
      </c>
      <c r="E11" s="8">
        <v>7</v>
      </c>
      <c r="F11" s="13">
        <v>0.02</v>
      </c>
      <c r="G11" s="10">
        <v>395197.63178622298</v>
      </c>
      <c r="H11" s="10">
        <v>87770.621990811211</v>
      </c>
      <c r="I11" s="10">
        <v>132999.914400148</v>
      </c>
      <c r="J11" s="10"/>
      <c r="K11" s="10">
        <v>1876175.18395123</v>
      </c>
      <c r="L11" s="10">
        <v>766.86062125346302</v>
      </c>
      <c r="M11" s="10"/>
      <c r="N11" s="10">
        <v>1052.6228956656898</v>
      </c>
      <c r="O11" s="10">
        <v>97130.986523986299</v>
      </c>
      <c r="P11" s="10"/>
      <c r="Q11" s="10">
        <f t="shared" si="2"/>
        <v>1942.6197304797261</v>
      </c>
      <c r="R11" s="10">
        <v>30.7350205391303</v>
      </c>
      <c r="S11" s="10"/>
      <c r="T11" s="10">
        <v>342.50265620229101</v>
      </c>
      <c r="U11" s="10">
        <f t="shared" si="0"/>
        <v>6.8500531240458207</v>
      </c>
      <c r="V11" s="10"/>
      <c r="W11" s="10">
        <v>164217.56113741998</v>
      </c>
      <c r="X11" s="10">
        <f t="shared" si="1"/>
        <v>3284.3512227483998</v>
      </c>
      <c r="Y11" s="10">
        <v>49204.847914491998</v>
      </c>
      <c r="Z11" s="10">
        <f>Y11*F11</f>
        <v>984.09695828984002</v>
      </c>
      <c r="AA11" s="10">
        <v>53051.037467444003</v>
      </c>
      <c r="AB11" s="10">
        <f>AA11*F11</f>
        <v>1061.0207493488801</v>
      </c>
      <c r="AC11" s="10">
        <v>5957.3037573400698</v>
      </c>
      <c r="AD11" s="20">
        <f>AC11*F11</f>
        <v>119.14607514680139</v>
      </c>
    </row>
    <row r="12" spans="1:30" x14ac:dyDescent="0.35">
      <c r="A12" s="5" t="s">
        <v>133</v>
      </c>
      <c r="B12" s="8">
        <v>57.5</v>
      </c>
      <c r="C12" s="8">
        <v>17.5</v>
      </c>
      <c r="D12" s="8" t="s">
        <v>127</v>
      </c>
      <c r="E12" s="8">
        <v>7</v>
      </c>
      <c r="F12" s="13">
        <v>0.02</v>
      </c>
      <c r="G12" s="10">
        <v>949137.37833896803</v>
      </c>
      <c r="H12" s="10">
        <v>153603.024348301</v>
      </c>
      <c r="I12" s="10">
        <v>194842.687111543</v>
      </c>
      <c r="J12" s="10"/>
      <c r="K12" s="10">
        <v>2025668.25570449</v>
      </c>
      <c r="L12" s="10">
        <v>1291.0168276930001</v>
      </c>
      <c r="M12" s="10"/>
      <c r="N12" s="10">
        <v>7754.8269869701107</v>
      </c>
      <c r="O12" s="10">
        <v>114306.25964775099</v>
      </c>
      <c r="P12" s="10"/>
      <c r="Q12" s="10">
        <f t="shared" si="2"/>
        <v>2286.1251929550199</v>
      </c>
      <c r="R12" s="10">
        <v>117.82269611937001</v>
      </c>
      <c r="S12" s="10"/>
      <c r="T12" s="10">
        <v>1640.3107969734401</v>
      </c>
      <c r="U12" s="10">
        <f t="shared" si="0"/>
        <v>32.8062159394688</v>
      </c>
      <c r="V12" s="10"/>
      <c r="W12" s="10">
        <v>179181.50091748999</v>
      </c>
      <c r="X12" s="10">
        <f t="shared" si="1"/>
        <v>3583.6300183497997</v>
      </c>
      <c r="Y12" s="10">
        <v>158142.050193295</v>
      </c>
      <c r="Z12" s="10">
        <f>Y12*F12</f>
        <v>3162.8410038658999</v>
      </c>
      <c r="AA12" s="10">
        <v>55954.238648591403</v>
      </c>
      <c r="AB12" s="10">
        <f>AA12*F12</f>
        <v>1119.084772971828</v>
      </c>
      <c r="AC12" s="10">
        <v>6672.0494330483107</v>
      </c>
      <c r="AD12" s="20">
        <f>AC12*F12</f>
        <v>133.44098866096621</v>
      </c>
    </row>
    <row r="13" spans="1:30" x14ac:dyDescent="0.35">
      <c r="A13" s="5" t="s">
        <v>134</v>
      </c>
      <c r="B13" s="8">
        <v>57.5</v>
      </c>
      <c r="C13" s="8">
        <v>17.5</v>
      </c>
      <c r="D13" s="8" t="s">
        <v>127</v>
      </c>
      <c r="E13" s="8">
        <v>7</v>
      </c>
      <c r="F13" s="13">
        <v>0.02</v>
      </c>
      <c r="G13" s="10">
        <v>518853.66400160303</v>
      </c>
      <c r="H13" s="10">
        <v>101877.453524617</v>
      </c>
      <c r="I13" s="10">
        <v>160954.868444577</v>
      </c>
      <c r="J13" s="10"/>
      <c r="K13" s="10">
        <v>1812203.15002473</v>
      </c>
      <c r="L13" s="10">
        <v>757.12529434682403</v>
      </c>
      <c r="M13" s="10"/>
      <c r="N13" s="10">
        <v>1782.8969280645701</v>
      </c>
      <c r="O13" s="10">
        <v>96930.013339257697</v>
      </c>
      <c r="P13" s="10"/>
      <c r="Q13" s="10">
        <f t="shared" si="2"/>
        <v>1938.600266785154</v>
      </c>
      <c r="R13" s="10" t="s">
        <v>29</v>
      </c>
      <c r="S13" s="10"/>
      <c r="T13" s="10">
        <v>216.319362402183</v>
      </c>
      <c r="U13" s="10">
        <f t="shared" si="0"/>
        <v>4.3263872480436598</v>
      </c>
      <c r="V13" s="10"/>
      <c r="W13" s="10">
        <v>171376.00048268697</v>
      </c>
      <c r="X13" s="10">
        <f t="shared" si="1"/>
        <v>3427.5200096537396</v>
      </c>
      <c r="Y13" s="10">
        <v>36511.019815924999</v>
      </c>
      <c r="Z13" s="10">
        <f>Y13*F13</f>
        <v>730.22039631849998</v>
      </c>
      <c r="AA13" s="10">
        <v>56208.105840318101</v>
      </c>
      <c r="AB13" s="10">
        <f>AA13*F13</f>
        <v>1124.1621168063621</v>
      </c>
      <c r="AC13" s="10">
        <v>5426.5902183930102</v>
      </c>
      <c r="AD13" s="20">
        <f>AC13*F13</f>
        <v>108.5318043678602</v>
      </c>
    </row>
    <row r="14" spans="1:30" x14ac:dyDescent="0.35">
      <c r="A14" s="5" t="s">
        <v>135</v>
      </c>
      <c r="B14" s="8">
        <v>57.5</v>
      </c>
      <c r="C14" s="8">
        <v>17.5</v>
      </c>
      <c r="D14" s="8" t="s">
        <v>127</v>
      </c>
      <c r="E14" s="8">
        <v>7</v>
      </c>
      <c r="F14" s="13">
        <v>0.02</v>
      </c>
      <c r="G14" s="10">
        <v>753382.73944191204</v>
      </c>
      <c r="H14" s="10">
        <v>94040.324894724792</v>
      </c>
      <c r="I14" s="10">
        <v>189757.73724464499</v>
      </c>
      <c r="J14" s="10"/>
      <c r="K14" s="10">
        <v>184227.350657125</v>
      </c>
      <c r="L14" s="10">
        <v>1126.00109731731</v>
      </c>
      <c r="M14" s="10"/>
      <c r="N14" s="10">
        <v>923.700517120423</v>
      </c>
      <c r="O14" s="10">
        <v>103356.08512208599</v>
      </c>
      <c r="P14" s="10"/>
      <c r="Q14" s="10">
        <f t="shared" si="2"/>
        <v>2067.1217024417197</v>
      </c>
      <c r="R14" s="10">
        <v>122.950316928595</v>
      </c>
      <c r="S14" s="10"/>
      <c r="T14" s="10">
        <v>360.50826319431502</v>
      </c>
      <c r="U14" s="10">
        <f t="shared" si="0"/>
        <v>7.2101652638863003</v>
      </c>
      <c r="V14" s="10"/>
      <c r="W14" s="10">
        <v>168485.35633955302</v>
      </c>
      <c r="X14" s="10">
        <f t="shared" si="1"/>
        <v>3369.7071267910605</v>
      </c>
      <c r="Y14" s="10">
        <v>47445.768143422101</v>
      </c>
      <c r="Z14" s="10">
        <f>Y14*F14</f>
        <v>948.915362868442</v>
      </c>
      <c r="AA14" s="10">
        <v>47413.127679387602</v>
      </c>
      <c r="AB14" s="10">
        <f>AA14*F14</f>
        <v>948.26255358775211</v>
      </c>
      <c r="AC14" s="10">
        <v>4223.7035986413503</v>
      </c>
      <c r="AD14" s="20">
        <f>AC14*F14</f>
        <v>84.474071972827005</v>
      </c>
    </row>
    <row r="17" spans="2:22" x14ac:dyDescent="0.35">
      <c r="H17" s="41" t="s">
        <v>78</v>
      </c>
      <c r="I17" s="42"/>
      <c r="J17" s="43"/>
      <c r="K17" s="41" t="s">
        <v>51</v>
      </c>
      <c r="L17" s="42"/>
      <c r="M17" s="43"/>
      <c r="N17" s="41" t="s">
        <v>69</v>
      </c>
      <c r="O17" s="42"/>
      <c r="P17" s="43"/>
      <c r="Q17" s="41" t="s">
        <v>17</v>
      </c>
      <c r="R17" s="42"/>
      <c r="S17" s="43"/>
      <c r="T17" s="41" t="s">
        <v>115</v>
      </c>
      <c r="U17" s="42"/>
      <c r="V17" s="43"/>
    </row>
    <row r="18" spans="2:22" x14ac:dyDescent="0.35">
      <c r="B18" s="23" t="s">
        <v>155</v>
      </c>
      <c r="C18" s="23" t="s">
        <v>156</v>
      </c>
      <c r="D18" s="23" t="s">
        <v>157</v>
      </c>
      <c r="E18" s="23" t="s">
        <v>122</v>
      </c>
      <c r="F18" s="23" t="s">
        <v>191</v>
      </c>
      <c r="G18" s="23" t="s">
        <v>158</v>
      </c>
      <c r="H18" s="9" t="s">
        <v>49</v>
      </c>
      <c r="I18" s="9" t="s">
        <v>137</v>
      </c>
      <c r="J18" s="9" t="s">
        <v>186</v>
      </c>
      <c r="K18" s="9" t="s">
        <v>49</v>
      </c>
      <c r="L18" s="9" t="s">
        <v>137</v>
      </c>
      <c r="M18" s="9" t="s">
        <v>187</v>
      </c>
      <c r="N18" s="9" t="s">
        <v>49</v>
      </c>
      <c r="O18" s="9" t="s">
        <v>137</v>
      </c>
      <c r="P18" s="9" t="s">
        <v>188</v>
      </c>
      <c r="Q18" s="9" t="s">
        <v>49</v>
      </c>
      <c r="R18" s="9" t="s">
        <v>137</v>
      </c>
      <c r="S18" s="9" t="s">
        <v>189</v>
      </c>
      <c r="T18" s="9" t="s">
        <v>49</v>
      </c>
      <c r="U18" s="9" t="s">
        <v>137</v>
      </c>
      <c r="V18" s="9" t="s">
        <v>190</v>
      </c>
    </row>
    <row r="19" spans="2:22" x14ac:dyDescent="0.35">
      <c r="B19" s="9">
        <v>1</v>
      </c>
      <c r="C19" s="9">
        <v>25</v>
      </c>
      <c r="D19" s="9">
        <v>30</v>
      </c>
      <c r="E19" s="9" t="s">
        <v>125</v>
      </c>
      <c r="F19" s="9">
        <v>7</v>
      </c>
      <c r="G19" s="9">
        <v>30</v>
      </c>
      <c r="H19" s="9">
        <v>63924.147733933198</v>
      </c>
      <c r="I19" s="9">
        <v>1917.7244320179959</v>
      </c>
      <c r="J19" s="9">
        <f>(I19/$I$43)*100</f>
        <v>68.004691400634869</v>
      </c>
      <c r="K19" s="9">
        <v>90.10005738809069</v>
      </c>
      <c r="L19" s="9">
        <v>2.7030017216427207</v>
      </c>
      <c r="M19" s="9">
        <f>(L19/$I$45)*100</f>
        <v>2.4649143653654355</v>
      </c>
      <c r="N19" s="9">
        <v>128814.399667126</v>
      </c>
      <c r="O19" s="9">
        <v>3864.4319900137798</v>
      </c>
      <c r="P19" s="9">
        <f>(O19/$I$46)*100</f>
        <v>81.394806991988801</v>
      </c>
      <c r="Q19" s="9">
        <v>39842.952134166502</v>
      </c>
      <c r="R19" s="9">
        <v>1195.2885640249949</v>
      </c>
      <c r="S19" s="9">
        <f>(R19/$I$49)*100</f>
        <v>61.874770774277366</v>
      </c>
      <c r="T19" s="9">
        <v>10338.083601623999</v>
      </c>
      <c r="U19" s="9">
        <v>310.14250804871995</v>
      </c>
      <c r="V19" s="9">
        <f>(U19/$I$52)*100</f>
        <v>6.348721142265827</v>
      </c>
    </row>
    <row r="20" spans="2:22" x14ac:dyDescent="0.35">
      <c r="B20" s="9">
        <v>2</v>
      </c>
      <c r="C20" s="9">
        <v>90</v>
      </c>
      <c r="D20" s="9">
        <v>5</v>
      </c>
      <c r="E20" s="9" t="s">
        <v>126</v>
      </c>
      <c r="F20" s="9">
        <v>7</v>
      </c>
      <c r="G20" s="9">
        <v>10</v>
      </c>
      <c r="H20" s="9">
        <v>216752.06318974501</v>
      </c>
      <c r="I20" s="9">
        <v>2167.5206318974501</v>
      </c>
      <c r="J20" s="9">
        <f t="shared" ref="J20:J30" si="3">(I20/$I$43)*100</f>
        <v>76.862749003821406</v>
      </c>
      <c r="K20" s="9">
        <v>1441.9970415632799</v>
      </c>
      <c r="L20" s="9">
        <v>14.4199704156328</v>
      </c>
      <c r="M20" s="9">
        <f t="shared" ref="M20:M30" si="4">(L20/$I$45)*100</f>
        <v>13.14982226649726</v>
      </c>
      <c r="N20" s="9">
        <v>345939.583484084</v>
      </c>
      <c r="O20" s="9">
        <v>3459.3958348408401</v>
      </c>
      <c r="P20" s="9">
        <f t="shared" ref="P20:P30" si="5">(O20/$I$46)*100</f>
        <v>72.863711151701779</v>
      </c>
      <c r="Q20" s="9">
        <v>10052.202421424199</v>
      </c>
      <c r="R20" s="9">
        <v>100.52202421424199</v>
      </c>
      <c r="S20" s="9">
        <f t="shared" ref="S20:S30" si="6">(R20/$I$49)*100</f>
        <v>5.203577941947513</v>
      </c>
      <c r="T20" s="9">
        <v>2851.0730661345701</v>
      </c>
      <c r="U20" s="9">
        <v>28.510730661345701</v>
      </c>
      <c r="V20" s="9">
        <f t="shared" ref="V20:V30" si="7">(U20/$I$52)*100</f>
        <v>0.58362421736364445</v>
      </c>
    </row>
    <row r="21" spans="2:22" x14ac:dyDescent="0.35">
      <c r="B21" s="9">
        <v>3</v>
      </c>
      <c r="C21" s="9">
        <v>25</v>
      </c>
      <c r="D21" s="9">
        <v>5</v>
      </c>
      <c r="E21" s="9" t="s">
        <v>127</v>
      </c>
      <c r="F21" s="9">
        <v>12</v>
      </c>
      <c r="G21" s="9">
        <v>20</v>
      </c>
      <c r="H21" s="9">
        <v>98223.418598056291</v>
      </c>
      <c r="I21" s="9">
        <v>1964.4683719611257</v>
      </c>
      <c r="J21" s="9">
        <f t="shared" si="3"/>
        <v>69.662284721974231</v>
      </c>
      <c r="K21" s="9">
        <v>342.50265620229101</v>
      </c>
      <c r="L21" s="9">
        <v>6.8500531240458207</v>
      </c>
      <c r="M21" s="9">
        <f t="shared" si="4"/>
        <v>6.2466827948283248</v>
      </c>
      <c r="N21" s="9">
        <v>184518.28972851601</v>
      </c>
      <c r="O21" s="9">
        <v>3690.3657945703203</v>
      </c>
      <c r="P21" s="9">
        <f t="shared" si="5"/>
        <v>77.728528372372139</v>
      </c>
      <c r="Q21" s="9">
        <v>29184.0793233765</v>
      </c>
      <c r="R21" s="9">
        <v>583.68158646753</v>
      </c>
      <c r="S21" s="9">
        <f t="shared" si="6"/>
        <v>30.214598762855527</v>
      </c>
      <c r="T21" s="9">
        <v>9689.2625572183697</v>
      </c>
      <c r="U21" s="9">
        <v>193.78525114436741</v>
      </c>
      <c r="V21" s="9">
        <f t="shared" si="7"/>
        <v>3.9668490744463623</v>
      </c>
    </row>
    <row r="22" spans="2:22" x14ac:dyDescent="0.35">
      <c r="B22" s="9">
        <v>4</v>
      </c>
      <c r="C22" s="9">
        <v>90</v>
      </c>
      <c r="D22" s="9">
        <v>30</v>
      </c>
      <c r="E22" s="9" t="s">
        <v>127</v>
      </c>
      <c r="F22" s="9">
        <v>2</v>
      </c>
      <c r="G22" s="9">
        <v>20</v>
      </c>
      <c r="H22" s="9">
        <v>112770.29453963401</v>
      </c>
      <c r="I22" s="9">
        <v>2255.4058907926801</v>
      </c>
      <c r="J22" s="9">
        <f t="shared" si="3"/>
        <v>79.979260328415577</v>
      </c>
      <c r="K22" s="9">
        <v>847.16380897475392</v>
      </c>
      <c r="L22" s="9">
        <v>16.943276179495079</v>
      </c>
      <c r="M22" s="9">
        <f t="shared" si="4"/>
        <v>15.450868757053529</v>
      </c>
      <c r="N22" s="9">
        <v>190016.44773093599</v>
      </c>
      <c r="O22" s="9">
        <v>3800.3289546187198</v>
      </c>
      <c r="P22" s="9">
        <f t="shared" si="5"/>
        <v>80.044633355328969</v>
      </c>
      <c r="Q22" s="9">
        <v>66797.564909411201</v>
      </c>
      <c r="R22" s="9">
        <v>1335.951298188224</v>
      </c>
      <c r="S22" s="9">
        <f t="shared" si="6"/>
        <v>69.156254672629885</v>
      </c>
      <c r="T22" s="9">
        <v>15364.127744805999</v>
      </c>
      <c r="U22" s="9">
        <v>307.28255489611996</v>
      </c>
      <c r="V22" s="9">
        <f t="shared" si="7"/>
        <v>6.2901769421816853</v>
      </c>
    </row>
    <row r="23" spans="2:22" x14ac:dyDescent="0.35">
      <c r="B23" s="9">
        <v>5</v>
      </c>
      <c r="C23" s="9">
        <v>57.5</v>
      </c>
      <c r="D23" s="9">
        <v>30</v>
      </c>
      <c r="E23" s="9" t="s">
        <v>126</v>
      </c>
      <c r="F23" s="9">
        <v>2</v>
      </c>
      <c r="G23" s="9">
        <v>10</v>
      </c>
      <c r="H23" s="9">
        <v>172587.21891221299</v>
      </c>
      <c r="I23" s="9">
        <v>1725.8721891221301</v>
      </c>
      <c r="J23" s="9">
        <f t="shared" si="3"/>
        <v>61.201392472579826</v>
      </c>
      <c r="K23" s="9">
        <v>847.19982018873804</v>
      </c>
      <c r="L23" s="9">
        <v>8.4719982018873807</v>
      </c>
      <c r="M23" s="9">
        <f t="shared" si="4"/>
        <v>7.7257627710614534</v>
      </c>
      <c r="N23" s="9">
        <v>317884.542290768</v>
      </c>
      <c r="O23" s="9">
        <v>3178.8454229076801</v>
      </c>
      <c r="P23" s="9">
        <f t="shared" si="5"/>
        <v>66.954602985266931</v>
      </c>
      <c r="Q23" s="9">
        <v>97968.769698153512</v>
      </c>
      <c r="R23" s="9">
        <v>979.68769698153517</v>
      </c>
      <c r="S23" s="9">
        <f t="shared" si="6"/>
        <v>50.714073158190608</v>
      </c>
      <c r="T23" s="9">
        <v>15807.7316398045</v>
      </c>
      <c r="U23" s="9">
        <v>158.07731639804501</v>
      </c>
      <c r="V23" s="9">
        <f t="shared" si="7"/>
        <v>3.2358956759686102</v>
      </c>
    </row>
    <row r="24" spans="2:22" x14ac:dyDescent="0.35">
      <c r="B24" s="9">
        <v>6</v>
      </c>
      <c r="C24" s="9">
        <v>57.5</v>
      </c>
      <c r="D24" s="9">
        <v>5</v>
      </c>
      <c r="E24" s="9" t="s">
        <v>125</v>
      </c>
      <c r="F24" s="9">
        <v>12</v>
      </c>
      <c r="G24" s="9">
        <v>30</v>
      </c>
      <c r="H24" s="9">
        <v>70174.571172296302</v>
      </c>
      <c r="I24" s="9">
        <v>2105.2371351688889</v>
      </c>
      <c r="J24" s="9">
        <f t="shared" si="3"/>
        <v>74.654105309418867</v>
      </c>
      <c r="K24" s="9">
        <v>504.73317520043202</v>
      </c>
      <c r="L24" s="9">
        <v>15.14199525601296</v>
      </c>
      <c r="M24" s="9">
        <f t="shared" si="4"/>
        <v>13.80824929854596</v>
      </c>
      <c r="N24" s="9">
        <v>117824.07317968601</v>
      </c>
      <c r="O24" s="9">
        <v>3534.7221953905801</v>
      </c>
      <c r="P24" s="9">
        <f t="shared" si="5"/>
        <v>74.450276679106281</v>
      </c>
      <c r="Q24" s="9">
        <v>34872.171247534097</v>
      </c>
      <c r="R24" s="9">
        <v>1046.165137426023</v>
      </c>
      <c r="S24" s="9">
        <f t="shared" si="6"/>
        <v>54.155314472599557</v>
      </c>
      <c r="T24" s="9">
        <v>3405.30823464387</v>
      </c>
      <c r="U24" s="9">
        <v>102.1592470393161</v>
      </c>
      <c r="V24" s="9">
        <f t="shared" si="7"/>
        <v>2.0912340447526749</v>
      </c>
    </row>
    <row r="25" spans="2:22" x14ac:dyDescent="0.35">
      <c r="B25" s="9">
        <v>7</v>
      </c>
      <c r="C25" s="9">
        <v>25</v>
      </c>
      <c r="D25" s="9">
        <v>17.5</v>
      </c>
      <c r="E25" s="9" t="s">
        <v>126</v>
      </c>
      <c r="F25" s="9">
        <v>12</v>
      </c>
      <c r="G25" s="9">
        <v>10</v>
      </c>
      <c r="H25" s="9">
        <v>174169.24091270901</v>
      </c>
      <c r="I25" s="9">
        <v>1741.6924091270901</v>
      </c>
      <c r="J25" s="9">
        <f t="shared" si="3"/>
        <v>61.762395482900423</v>
      </c>
      <c r="K25" s="9">
        <v>630.91646900054002</v>
      </c>
      <c r="L25" s="9">
        <v>6.3091646900054004</v>
      </c>
      <c r="M25" s="9">
        <f t="shared" si="4"/>
        <v>5.753437207727484</v>
      </c>
      <c r="N25" s="9">
        <v>310569.44808393199</v>
      </c>
      <c r="O25" s="9">
        <v>3105.69448083932</v>
      </c>
      <c r="P25" s="9">
        <f t="shared" si="5"/>
        <v>65.413857326830566</v>
      </c>
      <c r="Q25" s="9">
        <v>81803.123368728993</v>
      </c>
      <c r="R25" s="9">
        <v>818.03123368728996</v>
      </c>
      <c r="S25" s="9">
        <f t="shared" si="6"/>
        <v>42.34583730991168</v>
      </c>
      <c r="T25" s="9">
        <v>49997.623848874202</v>
      </c>
      <c r="U25" s="9">
        <v>499.97623848874201</v>
      </c>
      <c r="V25" s="9">
        <f t="shared" si="7"/>
        <v>10.234681262799953</v>
      </c>
    </row>
    <row r="26" spans="2:22" x14ac:dyDescent="0.35">
      <c r="B26" s="9">
        <v>8</v>
      </c>
      <c r="C26" s="9">
        <v>90</v>
      </c>
      <c r="D26" s="9">
        <v>17.5</v>
      </c>
      <c r="E26" s="9" t="s">
        <v>125</v>
      </c>
      <c r="F26" s="9">
        <v>2</v>
      </c>
      <c r="G26" s="9">
        <v>30</v>
      </c>
      <c r="H26" s="9">
        <v>73065.570047585396</v>
      </c>
      <c r="I26" s="9">
        <v>2191.9671014275618</v>
      </c>
      <c r="J26" s="9">
        <f t="shared" si="3"/>
        <v>77.729648641993549</v>
      </c>
      <c r="K26" s="9">
        <v>1261.76091557311</v>
      </c>
      <c r="L26" s="9">
        <v>37.8528274671933</v>
      </c>
      <c r="M26" s="9">
        <f t="shared" si="4"/>
        <v>34.518652891156727</v>
      </c>
      <c r="N26" s="9">
        <v>142806.569230436</v>
      </c>
      <c r="O26" s="9">
        <v>4284.1970769130794</v>
      </c>
      <c r="P26" s="9">
        <f t="shared" si="5"/>
        <v>90.236131750306541</v>
      </c>
      <c r="Q26" s="9">
        <v>35769.251021657801</v>
      </c>
      <c r="R26" s="9">
        <v>1073.0775306497339</v>
      </c>
      <c r="S26" s="9">
        <f t="shared" si="6"/>
        <v>55.548449328752589</v>
      </c>
      <c r="T26" s="9">
        <v>8799.8547670199896</v>
      </c>
      <c r="U26" s="9">
        <v>263.99564301059968</v>
      </c>
      <c r="V26" s="9">
        <f t="shared" si="7"/>
        <v>5.4040793401469793</v>
      </c>
    </row>
    <row r="27" spans="2:22" x14ac:dyDescent="0.35">
      <c r="B27" s="9">
        <v>9</v>
      </c>
      <c r="C27" s="9">
        <v>57.5</v>
      </c>
      <c r="D27" s="9">
        <v>17.5</v>
      </c>
      <c r="E27" s="9" t="s">
        <v>127</v>
      </c>
      <c r="F27" s="9">
        <v>7</v>
      </c>
      <c r="G27" s="9">
        <v>20</v>
      </c>
      <c r="H27" s="9">
        <v>97130.986523986299</v>
      </c>
      <c r="I27" s="9">
        <v>1942.6197304797261</v>
      </c>
      <c r="J27" s="9">
        <f t="shared" si="3"/>
        <v>68.887507023646535</v>
      </c>
      <c r="K27" s="9">
        <v>342.50265620229101</v>
      </c>
      <c r="L27" s="9">
        <v>6.8500531240458207</v>
      </c>
      <c r="M27" s="9">
        <f t="shared" si="4"/>
        <v>6.2466827948283248</v>
      </c>
      <c r="N27" s="9">
        <v>164217.56113741998</v>
      </c>
      <c r="O27" s="9">
        <v>3284.3512227483998</v>
      </c>
      <c r="P27" s="9">
        <f t="shared" si="5"/>
        <v>69.176824578702238</v>
      </c>
      <c r="Q27" s="9">
        <v>53051.037467444003</v>
      </c>
      <c r="R27" s="9">
        <v>1061.0207493488801</v>
      </c>
      <c r="S27" s="9">
        <f t="shared" si="6"/>
        <v>54.924323404922269</v>
      </c>
      <c r="T27" s="9">
        <v>5957.3037573400698</v>
      </c>
      <c r="U27" s="9">
        <v>119.14607514680139</v>
      </c>
      <c r="V27" s="9">
        <f t="shared" si="7"/>
        <v>2.4389601124385858</v>
      </c>
    </row>
    <row r="28" spans="2:22" x14ac:dyDescent="0.35">
      <c r="B28" s="9" t="s">
        <v>133</v>
      </c>
      <c r="C28" s="9">
        <v>57.5</v>
      </c>
      <c r="D28" s="9">
        <v>17.5</v>
      </c>
      <c r="E28" s="9" t="s">
        <v>127</v>
      </c>
      <c r="F28" s="9">
        <v>7</v>
      </c>
      <c r="G28" s="9">
        <v>20</v>
      </c>
      <c r="H28" s="9">
        <v>114306.25964775099</v>
      </c>
      <c r="I28" s="9">
        <v>2286.1251929550199</v>
      </c>
      <c r="J28" s="9">
        <f t="shared" si="3"/>
        <v>81.068601752404462</v>
      </c>
      <c r="K28" s="9">
        <v>1640.3107969734401</v>
      </c>
      <c r="L28" s="9">
        <v>32.8062159394688</v>
      </c>
      <c r="M28" s="9">
        <f t="shared" si="4"/>
        <v>29.916559910044239</v>
      </c>
      <c r="N28" s="9">
        <v>179181.50091748999</v>
      </c>
      <c r="O28" s="9">
        <v>3583.6300183497997</v>
      </c>
      <c r="P28" s="9">
        <f t="shared" si="5"/>
        <v>75.480400335170387</v>
      </c>
      <c r="Q28" s="9">
        <v>55954.238648591403</v>
      </c>
      <c r="R28" s="9">
        <v>1119.084772971828</v>
      </c>
      <c r="S28" s="9">
        <f t="shared" si="6"/>
        <v>57.930039564210304</v>
      </c>
      <c r="T28" s="9">
        <v>6672.0494330483107</v>
      </c>
      <c r="U28" s="9">
        <v>133.44098866096621</v>
      </c>
      <c r="V28" s="9">
        <f t="shared" si="7"/>
        <v>2.7315817856984896</v>
      </c>
    </row>
    <row r="29" spans="2:22" x14ac:dyDescent="0.35">
      <c r="B29" s="9" t="s">
        <v>134</v>
      </c>
      <c r="C29" s="9">
        <v>57.5</v>
      </c>
      <c r="D29" s="9">
        <v>17.5</v>
      </c>
      <c r="E29" s="9" t="s">
        <v>127</v>
      </c>
      <c r="F29" s="9">
        <v>7</v>
      </c>
      <c r="G29" s="9">
        <v>20</v>
      </c>
      <c r="H29" s="9">
        <v>96930.013339257697</v>
      </c>
      <c r="I29" s="9">
        <v>1938.600266785154</v>
      </c>
      <c r="J29" s="9">
        <f t="shared" si="3"/>
        <v>68.744972265481209</v>
      </c>
      <c r="K29" s="9">
        <v>216.319362402183</v>
      </c>
      <c r="L29" s="9">
        <v>4.3263872480436598</v>
      </c>
      <c r="M29" s="9">
        <f t="shared" si="4"/>
        <v>3.9453079117373302</v>
      </c>
      <c r="N29" s="9">
        <v>171376.00048268697</v>
      </c>
      <c r="O29" s="9">
        <v>3427.5200096537396</v>
      </c>
      <c r="P29" s="9">
        <f t="shared" si="5"/>
        <v>72.192324866338495</v>
      </c>
      <c r="Q29" s="9">
        <v>56208.105840318101</v>
      </c>
      <c r="R29" s="9">
        <v>1124.1621168063621</v>
      </c>
      <c r="S29" s="9">
        <f t="shared" si="6"/>
        <v>58.19287106394966</v>
      </c>
      <c r="T29" s="9">
        <v>5426.5902183930102</v>
      </c>
      <c r="U29" s="9">
        <v>108.5318043678602</v>
      </c>
      <c r="V29" s="9">
        <f t="shared" si="7"/>
        <v>2.2216824302273728</v>
      </c>
    </row>
    <row r="30" spans="2:22" x14ac:dyDescent="0.35">
      <c r="B30" s="9" t="s">
        <v>135</v>
      </c>
      <c r="C30" s="9">
        <v>57.5</v>
      </c>
      <c r="D30" s="9">
        <v>17.5</v>
      </c>
      <c r="E30" s="9" t="s">
        <v>127</v>
      </c>
      <c r="F30" s="9">
        <v>7</v>
      </c>
      <c r="G30" s="9">
        <v>20</v>
      </c>
      <c r="H30" s="9">
        <v>103356.08512208599</v>
      </c>
      <c r="I30" s="9">
        <v>2067.1217024417197</v>
      </c>
      <c r="J30" s="9">
        <f t="shared" si="3"/>
        <v>73.302488676217166</v>
      </c>
      <c r="K30" s="9">
        <v>360.50826319431502</v>
      </c>
      <c r="L30" s="9">
        <v>7.2101652638863003</v>
      </c>
      <c r="M30" s="9">
        <f t="shared" si="4"/>
        <v>6.5750753295159559</v>
      </c>
      <c r="N30" s="9">
        <v>168485.35633955302</v>
      </c>
      <c r="O30" s="9">
        <v>3369.7071267910605</v>
      </c>
      <c r="P30" s="9">
        <f t="shared" si="5"/>
        <v>70.974637906283746</v>
      </c>
      <c r="Q30" s="9">
        <v>47413.127679387602</v>
      </c>
      <c r="R30" s="9">
        <v>948.26255358775211</v>
      </c>
      <c r="S30" s="9">
        <f t="shared" si="6"/>
        <v>49.087333304266544</v>
      </c>
      <c r="T30" s="9">
        <v>4223.7035986413503</v>
      </c>
      <c r="U30" s="9">
        <v>84.474071972827005</v>
      </c>
      <c r="V30" s="9">
        <f t="shared" si="7"/>
        <v>1.7292125806338186</v>
      </c>
    </row>
    <row r="33" spans="7:16" x14ac:dyDescent="0.35">
      <c r="G33" s="36" t="s">
        <v>165</v>
      </c>
      <c r="H33" s="36"/>
      <c r="I33" s="36"/>
      <c r="J33" s="25"/>
      <c r="P33" t="str">
        <f>_xlfn.TEXTJOIN(", ", TRUE, P19:P30)</f>
        <v>81.3948069919888, 72.8637111517018, 77.7285283723721, 80.044633355329, 66.9546029852669, 74.4502766791063, 65.4138573268306, 90.2361317503065, 69.1768245787022, 75.4804003351704, 72.1923248663385, 70.9746379062837</v>
      </c>
    </row>
    <row r="34" spans="7:16" x14ac:dyDescent="0.35">
      <c r="G34" s="9" t="s">
        <v>166</v>
      </c>
      <c r="H34" s="44"/>
      <c r="I34" t="s">
        <v>167</v>
      </c>
    </row>
    <row r="35" spans="7:16" x14ac:dyDescent="0.35">
      <c r="G35" s="9" t="s">
        <v>168</v>
      </c>
      <c r="H35" s="44"/>
      <c r="I35">
        <v>15888.589122606343</v>
      </c>
    </row>
    <row r="36" spans="7:16" x14ac:dyDescent="0.35">
      <c r="G36" s="9" t="s">
        <v>169</v>
      </c>
      <c r="H36" s="44"/>
      <c r="I36">
        <v>1266.261217303397</v>
      </c>
    </row>
    <row r="37" spans="7:16" x14ac:dyDescent="0.35">
      <c r="G37" s="9" t="s">
        <v>170</v>
      </c>
      <c r="H37" s="44"/>
      <c r="I37">
        <v>2945.7674109430968</v>
      </c>
    </row>
    <row r="38" spans="7:16" x14ac:dyDescent="0.35">
      <c r="G38" s="9" t="s">
        <v>171</v>
      </c>
      <c r="H38" s="44"/>
      <c r="I38">
        <v>114.30182500541977</v>
      </c>
    </row>
    <row r="39" spans="7:16" x14ac:dyDescent="0.35">
      <c r="G39" s="9" t="s">
        <v>172</v>
      </c>
      <c r="H39" s="44"/>
      <c r="I39">
        <v>424.19744097382312</v>
      </c>
    </row>
    <row r="40" spans="7:16" x14ac:dyDescent="0.35">
      <c r="G40" s="9" t="s">
        <v>172</v>
      </c>
      <c r="H40" s="44"/>
      <c r="I40">
        <v>746.66311320009834</v>
      </c>
    </row>
    <row r="41" spans="7:16" x14ac:dyDescent="0.35">
      <c r="G41" s="9" t="s">
        <v>173</v>
      </c>
      <c r="H41" s="44"/>
      <c r="I41">
        <v>181.44413589301433</v>
      </c>
    </row>
    <row r="42" spans="7:16" x14ac:dyDescent="0.35">
      <c r="G42" s="9" t="s">
        <v>174</v>
      </c>
      <c r="H42" s="44"/>
      <c r="I42">
        <v>26.99013817001013</v>
      </c>
    </row>
    <row r="43" spans="7:16" x14ac:dyDescent="0.35">
      <c r="G43" s="9" t="s">
        <v>175</v>
      </c>
      <c r="H43" s="44"/>
      <c r="I43">
        <v>2819.9884339157411</v>
      </c>
    </row>
    <row r="44" spans="7:16" x14ac:dyDescent="0.35">
      <c r="G44" s="9" t="s">
        <v>176</v>
      </c>
      <c r="H44" s="44"/>
      <c r="I44">
        <v>1.2051582810341079</v>
      </c>
    </row>
    <row r="45" spans="7:16" x14ac:dyDescent="0.35">
      <c r="G45" s="9" t="s">
        <v>177</v>
      </c>
      <c r="H45" s="44"/>
      <c r="I45">
        <v>109.65905183655285</v>
      </c>
    </row>
    <row r="46" spans="7:16" x14ac:dyDescent="0.35">
      <c r="G46" s="9" t="s">
        <v>136</v>
      </c>
      <c r="H46" s="44"/>
      <c r="I46">
        <v>4747.7623362312688</v>
      </c>
    </row>
    <row r="47" spans="7:16" x14ac:dyDescent="0.35">
      <c r="G47" s="9" t="s">
        <v>178</v>
      </c>
      <c r="H47" s="44"/>
      <c r="I47" t="e">
        <v>#DIV/0!</v>
      </c>
    </row>
    <row r="48" spans="7:16" x14ac:dyDescent="0.35">
      <c r="G48" s="9" t="s">
        <v>179</v>
      </c>
      <c r="H48" s="44"/>
      <c r="I48">
        <v>0.77008866490644412</v>
      </c>
    </row>
    <row r="49" spans="7:9" x14ac:dyDescent="0.35">
      <c r="G49" s="9" t="s">
        <v>180</v>
      </c>
      <c r="H49" s="44"/>
      <c r="I49">
        <v>1931.7866540232928</v>
      </c>
    </row>
    <row r="50" spans="7:9" x14ac:dyDescent="0.35">
      <c r="G50" s="9" t="s">
        <v>181</v>
      </c>
      <c r="H50" s="44"/>
      <c r="I50">
        <v>7.0645739664372306E-2</v>
      </c>
    </row>
    <row r="51" spans="7:9" x14ac:dyDescent="0.35">
      <c r="G51" s="9" t="s">
        <v>182</v>
      </c>
      <c r="H51" s="44"/>
      <c r="I51">
        <v>26.118619331321486</v>
      </c>
    </row>
    <row r="52" spans="7:9" x14ac:dyDescent="0.35">
      <c r="G52" s="9" t="s">
        <v>183</v>
      </c>
      <c r="H52" s="44"/>
      <c r="I52">
        <v>4885.1178229263296</v>
      </c>
    </row>
  </sheetData>
  <mergeCells count="13">
    <mergeCell ref="G33:I33"/>
    <mergeCell ref="H17:J17"/>
    <mergeCell ref="K17:M17"/>
    <mergeCell ref="B1:F1"/>
    <mergeCell ref="W1:X1"/>
    <mergeCell ref="AA1:AB1"/>
    <mergeCell ref="AC1:AD1"/>
    <mergeCell ref="Y1:Z1"/>
    <mergeCell ref="T1:U1"/>
    <mergeCell ref="O1:Q1"/>
    <mergeCell ref="N17:P17"/>
    <mergeCell ref="Q17:S17"/>
    <mergeCell ref="T17:V17"/>
  </mergeCells>
  <conditionalFormatting sqref="Q3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V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684B-3C41-4A95-A6C5-526574D798D0}">
  <dimension ref="A1:Z2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Z6" sqref="A1:Z6"/>
    </sheetView>
  </sheetViews>
  <sheetFormatPr defaultRowHeight="14.5" x14ac:dyDescent="0.35"/>
  <cols>
    <col min="1" max="1" width="11" bestFit="1" customWidth="1"/>
    <col min="2" max="2" width="5" bestFit="1" customWidth="1"/>
    <col min="3" max="3" width="9.54296875" bestFit="1" customWidth="1"/>
    <col min="4" max="4" width="3.26953125" bestFit="1" customWidth="1"/>
    <col min="5" max="5" width="4.453125" bestFit="1" customWidth="1"/>
    <col min="6" max="6" width="5.6328125" bestFit="1" customWidth="1"/>
    <col min="7" max="7" width="10.90625" bestFit="1" customWidth="1"/>
    <col min="8" max="8" width="11" bestFit="1" customWidth="1"/>
    <col min="9" max="9" width="10.81640625" bestFit="1" customWidth="1"/>
    <col min="10" max="10" width="13.81640625" bestFit="1" customWidth="1"/>
    <col min="11" max="11" width="17.81640625" bestFit="1" customWidth="1"/>
    <col min="12" max="12" width="27.08984375" bestFit="1" customWidth="1"/>
    <col min="13" max="13" width="19.6328125" customWidth="1"/>
    <col min="14" max="14" width="10.81640625" bestFit="1" customWidth="1"/>
    <col min="15" max="15" width="11" bestFit="1" customWidth="1"/>
    <col min="16" max="16" width="10.81640625" bestFit="1" customWidth="1"/>
    <col min="17" max="17" width="10.90625" bestFit="1" customWidth="1"/>
    <col min="18" max="18" width="10.81640625" bestFit="1" customWidth="1"/>
    <col min="19" max="19" width="10.90625" bestFit="1" customWidth="1"/>
    <col min="21" max="21" width="10.81640625" bestFit="1" customWidth="1"/>
    <col min="22" max="22" width="11" bestFit="1" customWidth="1"/>
    <col min="23" max="23" width="11.7265625" bestFit="1" customWidth="1"/>
    <col min="24" max="24" width="11.81640625" bestFit="1" customWidth="1"/>
    <col min="25" max="26" width="11.7265625" bestFit="1" customWidth="1"/>
  </cols>
  <sheetData>
    <row r="1" spans="1:26" x14ac:dyDescent="0.35">
      <c r="A1" s="7" t="s">
        <v>24</v>
      </c>
      <c r="B1" s="26" t="s">
        <v>124</v>
      </c>
      <c r="C1" s="27"/>
      <c r="D1" s="27"/>
      <c r="E1" s="27"/>
      <c r="F1" s="28"/>
      <c r="G1" s="7" t="s">
        <v>107</v>
      </c>
      <c r="H1" s="7" t="s">
        <v>9</v>
      </c>
      <c r="I1" s="7" t="s">
        <v>66</v>
      </c>
      <c r="J1" s="7" t="s">
        <v>52</v>
      </c>
      <c r="K1" s="7"/>
      <c r="L1" s="7" t="s">
        <v>12</v>
      </c>
      <c r="M1" s="7" t="s">
        <v>16</v>
      </c>
      <c r="N1" s="7" t="s">
        <v>87</v>
      </c>
      <c r="O1" s="7" t="s">
        <v>15</v>
      </c>
      <c r="P1" s="7" t="s">
        <v>78</v>
      </c>
      <c r="Q1" s="7" t="s">
        <v>64</v>
      </c>
      <c r="R1" s="7" t="s">
        <v>51</v>
      </c>
      <c r="S1" s="7" t="s">
        <v>69</v>
      </c>
      <c r="T1" s="7"/>
      <c r="U1" s="7" t="s">
        <v>68</v>
      </c>
      <c r="V1" s="7" t="s">
        <v>1</v>
      </c>
      <c r="W1" s="7" t="s">
        <v>17</v>
      </c>
      <c r="X1" s="7" t="s">
        <v>83</v>
      </c>
      <c r="Y1" s="7" t="s">
        <v>30</v>
      </c>
      <c r="Z1" s="7" t="s">
        <v>115</v>
      </c>
    </row>
    <row r="2" spans="1:26" x14ac:dyDescent="0.35">
      <c r="A2" s="1" t="s">
        <v>99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138</v>
      </c>
      <c r="G2" s="26" t="s">
        <v>137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x14ac:dyDescent="0.35">
      <c r="A3" s="5" t="s">
        <v>31</v>
      </c>
      <c r="B3" s="29" t="s">
        <v>144</v>
      </c>
      <c r="C3" s="30"/>
      <c r="D3" s="30"/>
      <c r="E3" s="31"/>
      <c r="F3" s="11">
        <v>0.02</v>
      </c>
      <c r="G3" s="11">
        <v>14192.737658826578</v>
      </c>
      <c r="H3" s="11">
        <v>1528.1500608752999</v>
      </c>
      <c r="I3" s="11">
        <v>5023.5818249030799</v>
      </c>
      <c r="J3" s="11">
        <v>5664.9975600704402</v>
      </c>
      <c r="K3" s="11"/>
      <c r="L3" s="11">
        <v>3324.0397231612401</v>
      </c>
      <c r="M3" s="11">
        <v>6028.6088905964598</v>
      </c>
      <c r="N3" s="11">
        <v>37.468597018409405</v>
      </c>
      <c r="O3" s="11">
        <v>36.948020684817003</v>
      </c>
      <c r="P3" s="11">
        <v>2376.2088621432199</v>
      </c>
      <c r="Q3" s="11">
        <v>6.2497612194520604</v>
      </c>
      <c r="R3" s="11">
        <v>84.717101121755206</v>
      </c>
      <c r="S3" s="11">
        <v>3932.2879410861001</v>
      </c>
      <c r="T3" s="11">
        <v>0</v>
      </c>
      <c r="U3" s="11">
        <v>2394.3562063075801</v>
      </c>
      <c r="V3" s="11">
        <v>4.3106944028880001</v>
      </c>
      <c r="W3" s="11">
        <v>926.81213631048797</v>
      </c>
      <c r="X3" s="11">
        <v>4.7626522710107002</v>
      </c>
      <c r="Y3" s="11">
        <v>30.437449356769605</v>
      </c>
      <c r="Z3" s="11">
        <v>228.32704445631401</v>
      </c>
    </row>
    <row r="4" spans="1:26" x14ac:dyDescent="0.35">
      <c r="A4" s="5" t="s">
        <v>118</v>
      </c>
      <c r="B4" s="29" t="s">
        <v>131</v>
      </c>
      <c r="C4" s="30"/>
      <c r="D4" s="30"/>
      <c r="E4" s="31"/>
      <c r="F4" s="11">
        <v>0.02</v>
      </c>
      <c r="G4" s="11">
        <v>9319.1340952245791</v>
      </c>
      <c r="H4" s="11">
        <v>838.50883476470005</v>
      </c>
      <c r="I4" s="11">
        <v>10259.31158317798</v>
      </c>
      <c r="J4" s="11">
        <v>2396.6449370121004</v>
      </c>
      <c r="K4" s="11"/>
      <c r="L4" s="11">
        <v>1173.512202183146</v>
      </c>
      <c r="M4" s="11">
        <v>3460.4348945071602</v>
      </c>
      <c r="N4" s="11">
        <v>17089.285414243222</v>
      </c>
      <c r="O4" s="11">
        <v>1004.593730460104</v>
      </c>
      <c r="P4" s="11">
        <v>67595.458606271597</v>
      </c>
      <c r="Q4" s="11">
        <v>210.16080977372604</v>
      </c>
      <c r="R4" s="11">
        <v>7613.3936302299007</v>
      </c>
      <c r="S4" s="11">
        <v>3049.7999180336601</v>
      </c>
      <c r="T4" s="11">
        <v>0</v>
      </c>
      <c r="U4" s="11">
        <v>2552.2498085643001</v>
      </c>
      <c r="V4" s="11">
        <v>6.8957332757345196</v>
      </c>
      <c r="W4" s="11">
        <v>551.60601060525198</v>
      </c>
      <c r="X4" s="11">
        <v>1.7861432487036402</v>
      </c>
      <c r="Y4" s="11">
        <v>44.353052273676006</v>
      </c>
      <c r="Z4" s="11">
        <v>408.35046992975003</v>
      </c>
    </row>
    <row r="5" spans="1:26" x14ac:dyDescent="0.35">
      <c r="A5" s="5" t="s">
        <v>117</v>
      </c>
      <c r="B5" s="29" t="s">
        <v>132</v>
      </c>
      <c r="C5" s="30"/>
      <c r="D5" s="30"/>
      <c r="E5" s="31"/>
      <c r="F5" s="11">
        <v>1.9E-2</v>
      </c>
      <c r="G5" s="11">
        <v>33956.790490478917</v>
      </c>
      <c r="H5" s="11">
        <v>2960.6477515528759</v>
      </c>
      <c r="I5" s="11">
        <v>6180.855148113742</v>
      </c>
      <c r="J5" s="11">
        <v>13225.492751652379</v>
      </c>
      <c r="K5" s="11"/>
      <c r="L5" s="11">
        <v>8916.4660323467524</v>
      </c>
      <c r="M5" s="11">
        <v>11144.367751674534</v>
      </c>
      <c r="N5" s="11">
        <v>27229.489304574556</v>
      </c>
      <c r="O5" s="11">
        <v>1480.2218171815255</v>
      </c>
      <c r="P5" s="11">
        <v>107114.27463929827</v>
      </c>
      <c r="Q5" s="11">
        <v>357.6765652264296</v>
      </c>
      <c r="R5" s="11">
        <v>12105.278190559471</v>
      </c>
      <c r="S5" s="11">
        <v>2811.6915613010165</v>
      </c>
      <c r="T5" s="11">
        <v>0</v>
      </c>
      <c r="U5" s="11">
        <v>1695.5367420087523</v>
      </c>
      <c r="V5" s="11">
        <v>4.0951596827435992</v>
      </c>
      <c r="W5" s="11">
        <v>991.39615984090165</v>
      </c>
      <c r="X5" s="11">
        <v>2.8276835711917072</v>
      </c>
      <c r="Y5" s="11">
        <v>25.611033851390228</v>
      </c>
      <c r="Z5" s="11">
        <v>258.11090628345738</v>
      </c>
    </row>
    <row r="6" spans="1:26" x14ac:dyDescent="0.35">
      <c r="A6" s="5" t="s">
        <v>119</v>
      </c>
      <c r="B6" s="29" t="s">
        <v>143</v>
      </c>
      <c r="C6" s="30"/>
      <c r="D6" s="30"/>
      <c r="E6" s="31"/>
      <c r="F6" s="11">
        <v>6.0000000000000001E-3</v>
      </c>
      <c r="G6" s="11">
        <v>5704.464918372114</v>
      </c>
      <c r="H6" s="11">
        <v>482.73842094946201</v>
      </c>
      <c r="I6" s="11">
        <v>1723.1151034734303</v>
      </c>
      <c r="J6" s="11">
        <v>1915.9176432176521</v>
      </c>
      <c r="K6" s="11"/>
      <c r="L6" s="11">
        <v>1407.7458627786903</v>
      </c>
      <c r="M6" s="11">
        <v>1697.5696201109042</v>
      </c>
      <c r="N6" s="11">
        <v>15.37584344339202</v>
      </c>
      <c r="O6" s="11">
        <v>11.857682975294821</v>
      </c>
      <c r="P6" s="11">
        <v>870.14497225071</v>
      </c>
      <c r="Q6" s="11">
        <v>1.0757564231857801</v>
      </c>
      <c r="R6" s="11">
        <v>14.708348217217019</v>
      </c>
      <c r="S6" s="11">
        <v>1584.4204082081221</v>
      </c>
      <c r="T6" s="11">
        <v>0</v>
      </c>
      <c r="U6" s="11">
        <v>620.44800628962594</v>
      </c>
      <c r="V6" s="11">
        <v>0.25884832950621844</v>
      </c>
      <c r="W6" s="11">
        <v>77.730022128062402</v>
      </c>
      <c r="X6" s="11">
        <v>0.53619972759019374</v>
      </c>
      <c r="Y6" s="11">
        <v>8.6094648537349805</v>
      </c>
      <c r="Z6" s="11">
        <v>57.2578459267719</v>
      </c>
    </row>
    <row r="8" spans="1:26" x14ac:dyDescent="0.35">
      <c r="I8" s="9"/>
      <c r="J8" s="41" t="s">
        <v>162</v>
      </c>
      <c r="K8" s="42"/>
      <c r="L8" s="42"/>
      <c r="M8" s="43"/>
    </row>
    <row r="9" spans="1:26" x14ac:dyDescent="0.35">
      <c r="I9" s="9"/>
      <c r="J9" s="33" t="s">
        <v>164</v>
      </c>
      <c r="K9" s="33"/>
      <c r="L9" s="33" t="s">
        <v>163</v>
      </c>
      <c r="M9" s="33"/>
    </row>
    <row r="10" spans="1:26" x14ac:dyDescent="0.35">
      <c r="I10" s="9" t="s">
        <v>151</v>
      </c>
      <c r="J10" s="9" t="s">
        <v>152</v>
      </c>
      <c r="K10" s="9" t="s">
        <v>150</v>
      </c>
      <c r="L10" s="9" t="s">
        <v>154</v>
      </c>
      <c r="M10" s="9" t="s">
        <v>161</v>
      </c>
    </row>
    <row r="11" spans="1:26" x14ac:dyDescent="0.35">
      <c r="I11" s="9">
        <v>0</v>
      </c>
      <c r="J11" s="9">
        <v>0</v>
      </c>
      <c r="K11" s="9">
        <f>(J11/$S$3)*100</f>
        <v>0</v>
      </c>
      <c r="L11" s="9">
        <v>0</v>
      </c>
      <c r="M11" s="9">
        <f>(L11/$S$3)*100</f>
        <v>0</v>
      </c>
    </row>
    <row r="12" spans="1:26" x14ac:dyDescent="0.35">
      <c r="I12" s="9">
        <v>30</v>
      </c>
      <c r="J12" s="9">
        <v>882.49</v>
      </c>
      <c r="K12" s="9">
        <f t="shared" ref="K12:K13" si="0">(J12/$S$3)*100</f>
        <v>22.442151063745751</v>
      </c>
      <c r="L12" s="40">
        <v>1084.8599999999999</v>
      </c>
      <c r="M12" s="9">
        <f t="shared" ref="M12:M13" si="1">(L12/$S$3)*100</f>
        <v>27.588518853488665</v>
      </c>
    </row>
    <row r="13" spans="1:26" x14ac:dyDescent="0.35">
      <c r="I13" s="9">
        <v>60</v>
      </c>
      <c r="J13" s="40">
        <v>1120.5999999999999</v>
      </c>
      <c r="K13" s="9">
        <f t="shared" si="0"/>
        <v>28.497404482808285</v>
      </c>
      <c r="L13" s="40">
        <v>1525.33</v>
      </c>
      <c r="M13" s="9">
        <f t="shared" si="1"/>
        <v>38.789885757417423</v>
      </c>
    </row>
    <row r="17" spans="9:11" x14ac:dyDescent="0.35">
      <c r="I17" t="s">
        <v>153</v>
      </c>
    </row>
    <row r="18" spans="9:11" x14ac:dyDescent="0.35">
      <c r="I18" t="s">
        <v>151</v>
      </c>
      <c r="J18" t="s">
        <v>152</v>
      </c>
    </row>
    <row r="19" spans="9:11" x14ac:dyDescent="0.35">
      <c r="I19">
        <v>0</v>
      </c>
      <c r="J19">
        <v>0</v>
      </c>
    </row>
    <row r="20" spans="9:11" x14ac:dyDescent="0.35">
      <c r="I20">
        <v>30</v>
      </c>
      <c r="J20" s="22">
        <v>1084.8599999999999</v>
      </c>
      <c r="K20" s="22"/>
    </row>
    <row r="21" spans="9:11" x14ac:dyDescent="0.35">
      <c r="I21">
        <v>60</v>
      </c>
      <c r="J21" s="22">
        <v>1525.33</v>
      </c>
      <c r="K21" s="22"/>
    </row>
    <row r="26" spans="9:11" x14ac:dyDescent="0.35">
      <c r="I26" s="9" t="s">
        <v>151</v>
      </c>
      <c r="J26" t="s">
        <v>150</v>
      </c>
      <c r="K26" t="s">
        <v>161</v>
      </c>
    </row>
    <row r="27" spans="9:11" x14ac:dyDescent="0.35">
      <c r="I27" s="9">
        <v>0</v>
      </c>
      <c r="J27">
        <v>0</v>
      </c>
      <c r="K27">
        <v>0</v>
      </c>
    </row>
    <row r="28" spans="9:11" x14ac:dyDescent="0.35">
      <c r="I28" s="9">
        <v>30</v>
      </c>
      <c r="J28">
        <v>22.442151063745751</v>
      </c>
      <c r="K28">
        <v>27.588518853488665</v>
      </c>
    </row>
    <row r="29" spans="9:11" x14ac:dyDescent="0.35">
      <c r="I29" s="9">
        <v>60</v>
      </c>
      <c r="J29">
        <v>28.497404482808285</v>
      </c>
      <c r="K29">
        <v>38.789885757417423</v>
      </c>
    </row>
  </sheetData>
  <mergeCells count="9">
    <mergeCell ref="L9:M9"/>
    <mergeCell ref="J9:K9"/>
    <mergeCell ref="J8:M8"/>
    <mergeCell ref="G2:Z2"/>
    <mergeCell ref="B6:E6"/>
    <mergeCell ref="B1:F1"/>
    <mergeCell ref="B3:E3"/>
    <mergeCell ref="B4:E4"/>
    <mergeCell ref="B5:E5"/>
  </mergeCells>
  <conditionalFormatting sqref="I3:I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4D2D-7EB1-4703-A242-CF78F56138F0}">
  <dimension ref="B6:I12"/>
  <sheetViews>
    <sheetView workbookViewId="0">
      <selection activeCell="B6" sqref="B6:I7"/>
    </sheetView>
  </sheetViews>
  <sheetFormatPr defaultRowHeight="14.5" x14ac:dyDescent="0.35"/>
  <cols>
    <col min="2" max="2" width="11" bestFit="1" customWidth="1"/>
    <col min="3" max="3" width="5" bestFit="1" customWidth="1"/>
    <col min="4" max="4" width="9.54296875" bestFit="1" customWidth="1"/>
    <col min="5" max="5" width="3.26953125" bestFit="1" customWidth="1"/>
    <col min="6" max="6" width="5.26953125" customWidth="1"/>
    <col min="7" max="7" width="5.36328125" bestFit="1" customWidth="1"/>
    <col min="8" max="8" width="9.36328125" bestFit="1" customWidth="1"/>
    <col min="9" max="9" width="11.81640625" bestFit="1" customWidth="1"/>
  </cols>
  <sheetData>
    <row r="6" spans="2:9" x14ac:dyDescent="0.35">
      <c r="B6" s="21" t="s">
        <v>24</v>
      </c>
      <c r="C6" s="39" t="s">
        <v>124</v>
      </c>
      <c r="D6" s="39"/>
      <c r="E6" s="39"/>
      <c r="F6" s="39"/>
      <c r="G6" s="39"/>
      <c r="H6" s="38" t="s">
        <v>69</v>
      </c>
      <c r="I6" s="38"/>
    </row>
    <row r="7" spans="2:9" x14ac:dyDescent="0.35">
      <c r="B7" s="1" t="s">
        <v>99</v>
      </c>
      <c r="C7" s="1"/>
      <c r="D7" s="1"/>
      <c r="E7" s="1"/>
      <c r="F7" s="1"/>
      <c r="G7" s="1" t="s">
        <v>138</v>
      </c>
      <c r="H7" s="12" t="s">
        <v>137</v>
      </c>
      <c r="I7" s="12" t="s">
        <v>49</v>
      </c>
    </row>
    <row r="8" spans="2:9" x14ac:dyDescent="0.35">
      <c r="B8" s="5" t="s">
        <v>31</v>
      </c>
      <c r="C8" s="37" t="s">
        <v>144</v>
      </c>
      <c r="D8" s="37"/>
      <c r="E8" s="37"/>
      <c r="F8" s="37"/>
      <c r="G8" s="8">
        <v>0.02</v>
      </c>
      <c r="H8" s="10">
        <v>3932.2879410861001</v>
      </c>
      <c r="I8" s="10">
        <v>196614.39705430501</v>
      </c>
    </row>
    <row r="9" spans="2:9" x14ac:dyDescent="0.35">
      <c r="B9" s="5"/>
      <c r="C9" s="37" t="s">
        <v>145</v>
      </c>
      <c r="D9" s="37"/>
      <c r="E9" s="37"/>
      <c r="F9" s="37"/>
      <c r="G9" s="8">
        <v>6.0000000000000001E-3</v>
      </c>
      <c r="H9" s="10">
        <v>1179.68638232583</v>
      </c>
      <c r="I9" s="10"/>
    </row>
    <row r="10" spans="2:9" x14ac:dyDescent="0.35">
      <c r="B10" s="5" t="s">
        <v>118</v>
      </c>
      <c r="C10" s="37" t="s">
        <v>131</v>
      </c>
      <c r="D10" s="37"/>
      <c r="E10" s="37"/>
      <c r="F10" s="37"/>
      <c r="G10" s="8">
        <v>0.02</v>
      </c>
      <c r="H10" s="19">
        <v>3049.7999180336601</v>
      </c>
      <c r="I10" s="10">
        <v>152489.995901683</v>
      </c>
    </row>
    <row r="11" spans="2:9" x14ac:dyDescent="0.35">
      <c r="B11" s="5" t="s">
        <v>117</v>
      </c>
      <c r="C11" s="37" t="s">
        <v>132</v>
      </c>
      <c r="D11" s="37"/>
      <c r="E11" s="37"/>
      <c r="F11" s="37"/>
      <c r="G11" s="8">
        <v>1.9E-2</v>
      </c>
      <c r="H11" s="10">
        <v>2811.6915613010165</v>
      </c>
      <c r="I11" s="10">
        <v>147983.76638426402</v>
      </c>
    </row>
    <row r="12" spans="2:9" x14ac:dyDescent="0.35">
      <c r="B12" s="5" t="s">
        <v>119</v>
      </c>
      <c r="C12" s="37" t="s">
        <v>143</v>
      </c>
      <c r="D12" s="37"/>
      <c r="E12" s="37"/>
      <c r="F12" s="37"/>
      <c r="G12" s="8">
        <v>6.0000000000000001E-3</v>
      </c>
      <c r="H12" s="10">
        <v>1584.4204082081221</v>
      </c>
      <c r="I12" s="10">
        <v>264070.06803468702</v>
      </c>
    </row>
  </sheetData>
  <mergeCells count="7">
    <mergeCell ref="C11:F11"/>
    <mergeCell ref="C12:F12"/>
    <mergeCell ref="H6:I6"/>
    <mergeCell ref="C6:G6"/>
    <mergeCell ref="C8:F8"/>
    <mergeCell ref="C9:F9"/>
    <mergeCell ref="C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 x14ac:dyDescent="0.35"/>
  <sheetData>
    <row r="1" spans="1:1" x14ac:dyDescent="0.35">
      <c r="A1" t="s">
        <v>42</v>
      </c>
    </row>
    <row r="2" spans="1:1" x14ac:dyDescent="0.35">
      <c r="A2" t="s">
        <v>53</v>
      </c>
    </row>
    <row r="3" spans="1:1" x14ac:dyDescent="0.35">
      <c r="A3" t="s">
        <v>43</v>
      </c>
    </row>
    <row r="4" spans="1:1" x14ac:dyDescent="0.35">
      <c r="A4" t="s">
        <v>65</v>
      </c>
    </row>
    <row r="5" spans="1:1" x14ac:dyDescent="0.35">
      <c r="A5" t="s">
        <v>104</v>
      </c>
    </row>
    <row r="6" spans="1:1" x14ac:dyDescent="0.35">
      <c r="A6" t="s">
        <v>58</v>
      </c>
    </row>
    <row r="7" spans="1:1" x14ac:dyDescent="0.35">
      <c r="A7" t="s">
        <v>37</v>
      </c>
    </row>
    <row r="8" spans="1:1" x14ac:dyDescent="0.35">
      <c r="A8" t="s">
        <v>39</v>
      </c>
    </row>
    <row r="9" spans="1:1" x14ac:dyDescent="0.35">
      <c r="A9" t="s">
        <v>40</v>
      </c>
    </row>
    <row r="10" spans="1:1" x14ac:dyDescent="0.35">
      <c r="A10" t="s">
        <v>81</v>
      </c>
    </row>
    <row r="11" spans="1:1" x14ac:dyDescent="0.35">
      <c r="A11" t="s">
        <v>3</v>
      </c>
    </row>
    <row r="12" spans="1:1" x14ac:dyDescent="0.35">
      <c r="A12" t="s">
        <v>57</v>
      </c>
    </row>
    <row r="13" spans="1:1" x14ac:dyDescent="0.35">
      <c r="A13" t="s">
        <v>54</v>
      </c>
    </row>
    <row r="14" spans="1:1" x14ac:dyDescent="0.35">
      <c r="A14" t="s">
        <v>94</v>
      </c>
    </row>
    <row r="15" spans="1:1" x14ac:dyDescent="0.35">
      <c r="A15" t="s">
        <v>24</v>
      </c>
    </row>
    <row r="16" spans="1:1" x14ac:dyDescent="0.35">
      <c r="A16" t="s">
        <v>14</v>
      </c>
    </row>
    <row r="17" spans="1:1" x14ac:dyDescent="0.35">
      <c r="A17" t="s">
        <v>98</v>
      </c>
    </row>
    <row r="18" spans="1:1" x14ac:dyDescent="0.35">
      <c r="A18" t="s">
        <v>28</v>
      </c>
    </row>
    <row r="19" spans="1:1" x14ac:dyDescent="0.35">
      <c r="A19" t="s">
        <v>45</v>
      </c>
    </row>
    <row r="20" spans="1:1" x14ac:dyDescent="0.35">
      <c r="A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</vt:lpstr>
      <vt:lpstr>DSD Elements</vt:lpstr>
      <vt:lpstr>Plating Elements</vt:lpstr>
      <vt:lpstr>Sheet8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Bridge, Ollie</cp:lastModifiedBy>
  <dcterms:created xsi:type="dcterms:W3CDTF">2026-07-29T16:06:10Z</dcterms:created>
  <dcterms:modified xsi:type="dcterms:W3CDTF">2026-08-25T12:38:27Z</dcterms:modified>
</cp:coreProperties>
</file>