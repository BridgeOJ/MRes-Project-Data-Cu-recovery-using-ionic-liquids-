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ojb125_ic_ac_uk/Documents/21 - Research Master's Project/Data/ICP/"/>
    </mc:Choice>
  </mc:AlternateContent>
  <xr:revisionPtr revIDLastSave="7" documentId="8_{798A108F-CD0F-4450-BE04-B2F90DF2B872}" xr6:coauthVersionLast="47" xr6:coauthVersionMax="47" xr10:uidLastSave="{C4839CEC-72E8-49F2-A9DD-45961F6FCED6}"/>
  <bookViews>
    <workbookView xWindow="-110" yWindow="-110" windowWidth="25820" windowHeight="14620" activeTab="1" xr2:uid="{00000000-000D-0000-FFFF-FFFF00000000}"/>
  </bookViews>
  <sheets>
    <sheet name="Raw Data" sheetId="1" r:id="rId1"/>
    <sheet name="Copper" sheetId="3" r:id="rId2"/>
    <sheet name="ValueList_Helper" sheetId="2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8" i="3" l="1"/>
  <c r="L38" i="3"/>
  <c r="M35" i="3"/>
  <c r="L35" i="3"/>
  <c r="M32" i="3"/>
  <c r="L32" i="3"/>
  <c r="M26" i="3"/>
  <c r="L26" i="3"/>
  <c r="M29" i="3"/>
  <c r="L29" i="3"/>
  <c r="M23" i="3"/>
  <c r="L23" i="3"/>
  <c r="M20" i="3"/>
  <c r="L11" i="3"/>
  <c r="L14" i="3"/>
  <c r="L20" i="3"/>
  <c r="L17" i="3"/>
  <c r="M17" i="3"/>
  <c r="M14" i="3"/>
  <c r="M11" i="3"/>
</calcChain>
</file>

<file path=xl/sharedStrings.xml><?xml version="1.0" encoding="utf-8"?>
<sst xmlns="http://schemas.openxmlformats.org/spreadsheetml/2006/main" count="548" uniqueCount="203">
  <si>
    <t>Spl35.d</t>
  </si>
  <si>
    <t>R 1</t>
  </si>
  <si>
    <t xml:space="preserve">71  Ga  [ He ] </t>
  </si>
  <si>
    <t>QC2</t>
  </si>
  <si>
    <t>Spl11</t>
  </si>
  <si>
    <t>SQStd</t>
  </si>
  <si>
    <t>Spl9.d</t>
  </si>
  <si>
    <t>Spl34.d</t>
  </si>
  <si>
    <t>R3.d</t>
  </si>
  <si>
    <t xml:space="preserve">193  Ir ( ISTD )  [ H2 ] </t>
  </si>
  <si>
    <t>Spl36</t>
  </si>
  <si>
    <t>Spl34</t>
  </si>
  <si>
    <t>5.d</t>
  </si>
  <si>
    <t>Spl18</t>
  </si>
  <si>
    <t xml:space="preserve">24  Mg  [ He ] </t>
  </si>
  <si>
    <t xml:space="preserve">43  Ca  [ He ] </t>
  </si>
  <si>
    <t>Spl7.d</t>
  </si>
  <si>
    <t>Spl10</t>
  </si>
  <si>
    <t>Spl32.d</t>
  </si>
  <si>
    <t>Spl26.d</t>
  </si>
  <si>
    <t xml:space="preserve">89  Y ( ISTD )  [ He ] </t>
  </si>
  <si>
    <t>Spike</t>
  </si>
  <si>
    <t xml:space="preserve">55  Mn  [ He ] </t>
  </si>
  <si>
    <t>Spl21.d</t>
  </si>
  <si>
    <t xml:space="preserve">44  Ca  [ He ] </t>
  </si>
  <si>
    <t xml:space="preserve">107  Ag  [ He ] </t>
  </si>
  <si>
    <t>Spl21</t>
  </si>
  <si>
    <t>2</t>
  </si>
  <si>
    <t>200.d</t>
  </si>
  <si>
    <t>Spl23.d</t>
  </si>
  <si>
    <t>Sample</t>
  </si>
  <si>
    <t>Level</t>
  </si>
  <si>
    <t>SQBlk</t>
  </si>
  <si>
    <t>Spl29</t>
  </si>
  <si>
    <t>&lt;0.000</t>
  </si>
  <si>
    <t xml:space="preserve">137  Ba  [ He ] </t>
  </si>
  <si>
    <t>R4</t>
  </si>
  <si>
    <t>Spl20.d</t>
  </si>
  <si>
    <t>N/A</t>
  </si>
  <si>
    <t>R3</t>
  </si>
  <si>
    <t>DriftChk</t>
  </si>
  <si>
    <t>FQBlk</t>
  </si>
  <si>
    <t>Spl13.d</t>
  </si>
  <si>
    <t>IsoStd</t>
  </si>
  <si>
    <t>100</t>
  </si>
  <si>
    <t>Spl1.d</t>
  </si>
  <si>
    <t>Bkgnd</t>
  </si>
  <si>
    <t>Spl8.d</t>
  </si>
  <si>
    <t>Spl2.d</t>
  </si>
  <si>
    <t>CalBlk</t>
  </si>
  <si>
    <t>Spl11.d</t>
  </si>
  <si>
    <t>SQISTD</t>
  </si>
  <si>
    <t>Spl26</t>
  </si>
  <si>
    <t>Spl31</t>
  </si>
  <si>
    <t xml:space="preserve">45  Sc ( ISTD )  [ He ] </t>
  </si>
  <si>
    <t>R2</t>
  </si>
  <si>
    <t>Spl31.d</t>
  </si>
  <si>
    <t>Spl5.d</t>
  </si>
  <si>
    <t>Conc. [ ug/l ]</t>
  </si>
  <si>
    <t>Spl33.d</t>
  </si>
  <si>
    <t>Spl22.d</t>
  </si>
  <si>
    <t>Data File</t>
  </si>
  <si>
    <t>Spl8</t>
  </si>
  <si>
    <t xml:space="preserve">60  Ni  [ He ] </t>
  </si>
  <si>
    <t>Spl3</t>
  </si>
  <si>
    <t xml:space="preserve">39  K  [ He ] </t>
  </si>
  <si>
    <t>BlkVrfy</t>
  </si>
  <si>
    <t>QC4</t>
  </si>
  <si>
    <t>Spl27</t>
  </si>
  <si>
    <t>Spl17</t>
  </si>
  <si>
    <t>500.d</t>
  </si>
  <si>
    <t>3</t>
  </si>
  <si>
    <t>QC3</t>
  </si>
  <si>
    <t>DilStd</t>
  </si>
  <si>
    <t>Spl14.d</t>
  </si>
  <si>
    <t>Spl25.d</t>
  </si>
  <si>
    <t>Spl2</t>
  </si>
  <si>
    <t>Spl6</t>
  </si>
  <si>
    <t>Type</t>
  </si>
  <si>
    <t>Spl13</t>
  </si>
  <si>
    <t>R 1.d</t>
  </si>
  <si>
    <t>Spl33</t>
  </si>
  <si>
    <t>500</t>
  </si>
  <si>
    <t>Spl5</t>
  </si>
  <si>
    <t>Acq. Date-Time</t>
  </si>
  <si>
    <t>Spl35</t>
  </si>
  <si>
    <t>Spl28</t>
  </si>
  <si>
    <t>Spl30</t>
  </si>
  <si>
    <t xml:space="preserve">59  Co  [ He ] </t>
  </si>
  <si>
    <t>Spl23</t>
  </si>
  <si>
    <t>CalStd</t>
  </si>
  <si>
    <t xml:space="preserve">27  Al  [ He ] </t>
  </si>
  <si>
    <t>Spl1</t>
  </si>
  <si>
    <t>Spl27.d</t>
  </si>
  <si>
    <t xml:space="preserve">66  Zn  [ He ] </t>
  </si>
  <si>
    <t>Spl4.d</t>
  </si>
  <si>
    <t xml:space="preserve">63  Cu  [ He ] </t>
  </si>
  <si>
    <t>Spl18.d</t>
  </si>
  <si>
    <t xml:space="preserve">89  Y ( ISTD )  [ H2 ] </t>
  </si>
  <si>
    <t>Spl16.d</t>
  </si>
  <si>
    <t>R4.d</t>
  </si>
  <si>
    <t xml:space="preserve">45  Sc ( ISTD )  [ H2 ] </t>
  </si>
  <si>
    <t>Spl12</t>
  </si>
  <si>
    <t>Spl17.d</t>
  </si>
  <si>
    <t>R2.d</t>
  </si>
  <si>
    <t xml:space="preserve">56  Fe  [ H2 ] </t>
  </si>
  <si>
    <t>50.d</t>
  </si>
  <si>
    <t>Spl19.d</t>
  </si>
  <si>
    <t>Spl29.d</t>
  </si>
  <si>
    <t>1</t>
  </si>
  <si>
    <t>QC1</t>
  </si>
  <si>
    <t>100.d</t>
  </si>
  <si>
    <t xml:space="preserve">111  Cd  [ He ] </t>
  </si>
  <si>
    <t>Spl4</t>
  </si>
  <si>
    <t>Spl15</t>
  </si>
  <si>
    <t>0ppb.d</t>
  </si>
  <si>
    <t>Spl3.d</t>
  </si>
  <si>
    <t xml:space="preserve">52  Cr  [ He ] </t>
  </si>
  <si>
    <t>200</t>
  </si>
  <si>
    <t>CPS RSD</t>
  </si>
  <si>
    <t>Spl20</t>
  </si>
  <si>
    <t>CPS</t>
  </si>
  <si>
    <t>Spl36.d</t>
  </si>
  <si>
    <t>QC5</t>
  </si>
  <si>
    <t>50</t>
  </si>
  <si>
    <t>Spl24.d</t>
  </si>
  <si>
    <t>Spike Ref</t>
  </si>
  <si>
    <t>Spl15.d</t>
  </si>
  <si>
    <t>Sample Name</t>
  </si>
  <si>
    <t>Conc. SD</t>
  </si>
  <si>
    <t>Spl32</t>
  </si>
  <si>
    <t>Spl28.d</t>
  </si>
  <si>
    <t>CICSpike</t>
  </si>
  <si>
    <t/>
  </si>
  <si>
    <t xml:space="preserve">193  Ir ( ISTD )  [ He ] </t>
  </si>
  <si>
    <t>Spl9</t>
  </si>
  <si>
    <t xml:space="preserve">23  Na  [ He ] </t>
  </si>
  <si>
    <t>0ppb</t>
  </si>
  <si>
    <t>Spl7</t>
  </si>
  <si>
    <t>Spl22</t>
  </si>
  <si>
    <t>4</t>
  </si>
  <si>
    <t>6</t>
  </si>
  <si>
    <t>Spl12.d</t>
  </si>
  <si>
    <t>Spl30.d</t>
  </si>
  <si>
    <t>Spl10.d</t>
  </si>
  <si>
    <t>Spl16</t>
  </si>
  <si>
    <t>Spl6.d</t>
  </si>
  <si>
    <t>5</t>
  </si>
  <si>
    <t xml:space="preserve">208  Pb  [ He ] </t>
  </si>
  <si>
    <t>Spl19</t>
  </si>
  <si>
    <t>Spl14</t>
  </si>
  <si>
    <t>Rjct</t>
  </si>
  <si>
    <t>Spl24</t>
  </si>
  <si>
    <t>Spl25</t>
  </si>
  <si>
    <t>PostMix (1)</t>
  </si>
  <si>
    <t>PostMix (2)</t>
  </si>
  <si>
    <t>PostMix (3)</t>
  </si>
  <si>
    <t>Post 600 (1)</t>
  </si>
  <si>
    <t>Post 600 (2)</t>
  </si>
  <si>
    <t>Post 600 (3)</t>
  </si>
  <si>
    <t>Post 125 (1)</t>
  </si>
  <si>
    <t>Post 125 (2)</t>
  </si>
  <si>
    <t>Post 125 (3)</t>
  </si>
  <si>
    <t>Post 75 (1)</t>
  </si>
  <si>
    <t>Post 75 (2)</t>
  </si>
  <si>
    <t>Post 75 (3)</t>
  </si>
  <si>
    <t>Post 30 (1)</t>
  </si>
  <si>
    <t>Post 30 (2)</t>
  </si>
  <si>
    <t>Post 30 (3)</t>
  </si>
  <si>
    <t>Pre mix (1)</t>
  </si>
  <si>
    <t>Pre mix (2)</t>
  </si>
  <si>
    <t>Pre mix (3)</t>
  </si>
  <si>
    <t>Pre 600 (1)</t>
  </si>
  <si>
    <t>Pre 600 (2)</t>
  </si>
  <si>
    <t>Pre 600 (3)</t>
  </si>
  <si>
    <t>Pre 125 (1)</t>
  </si>
  <si>
    <t>Pre 125 (2)</t>
  </si>
  <si>
    <t>Pre 125 (3)</t>
  </si>
  <si>
    <t>Pre 75 (1)</t>
  </si>
  <si>
    <t>Pre 75 (2)</t>
  </si>
  <si>
    <t>Pre 75 (3)</t>
  </si>
  <si>
    <t>Pre 30 (1)</t>
  </si>
  <si>
    <t>Pre 30 (2)</t>
  </si>
  <si>
    <t>Pre 30 (3)</t>
  </si>
  <si>
    <t>FA (1)</t>
  </si>
  <si>
    <t>FA (2)</t>
  </si>
  <si>
    <t>FA (3)</t>
  </si>
  <si>
    <t>FB (1)</t>
  </si>
  <si>
    <t>FB (2)</t>
  </si>
  <si>
    <t>FB (3)</t>
  </si>
  <si>
    <t xml:space="preserve">PostMix </t>
  </si>
  <si>
    <t>SD</t>
  </si>
  <si>
    <t>Post 600</t>
  </si>
  <si>
    <t>Av</t>
  </si>
  <si>
    <t xml:space="preserve">Post 125 </t>
  </si>
  <si>
    <t xml:space="preserve">Post 75 </t>
  </si>
  <si>
    <t>Post 30</t>
  </si>
  <si>
    <t>Pre mix</t>
  </si>
  <si>
    <t>Pre 600</t>
  </si>
  <si>
    <t>Pre 125</t>
  </si>
  <si>
    <t>Pre 75</t>
  </si>
  <si>
    <t>Pre 30</t>
  </si>
  <si>
    <t xml:space="preserve">Pre 30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</si>
</sst>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rgb="FF000000"/>
      <name val="Microsoft Sans Serif"/>
      <family val="2"/>
    </font>
    <font>
      <sz val="11"/>
      <color theme="1"/>
      <name val="Calibri"/>
      <family val="2"/>
      <scheme val="minor"/>
    </font>
    <font>
      <sz val="9"/>
      <name val="Microsoft Sans Serif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1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top"/>
    </xf>
    <xf numFmtId="22" fontId="3" fillId="0" borderId="3" xfId="0" applyNumberFormat="1" applyFont="1" applyBorder="1" applyAlignment="1">
      <alignment horizontal="left" vertical="top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top"/>
    </xf>
    <xf numFmtId="0" fontId="3" fillId="3" borderId="3" xfId="0" applyFont="1" applyFill="1" applyBorder="1" applyAlignment="1">
      <alignment horizontal="right" vertical="top"/>
    </xf>
    <xf numFmtId="0" fontId="3" fillId="4" borderId="3" xfId="0" applyFont="1" applyFill="1" applyBorder="1" applyAlignment="1">
      <alignment horizontal="right" vertical="top"/>
    </xf>
    <xf numFmtId="0" fontId="1" fillId="2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2" fillId="5" borderId="0" xfId="0" applyFont="1" applyFill="1"/>
    <xf numFmtId="0" fontId="0" fillId="5" borderId="0" xfId="0" applyFill="1"/>
    <xf numFmtId="0" fontId="4" fillId="0" borderId="0" xfId="0" applyFont="1"/>
    <xf numFmtId="0" fontId="5" fillId="0" borderId="0" xfId="0" applyFont="1"/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Pre</a:t>
            </a:r>
            <a:r>
              <a:rPr lang="en-GB" baseline="0"/>
              <a:t> mix fraction Conc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Copper!$R$28:$R$32</c:f>
                <c:numCache>
                  <c:formatCode>General</c:formatCode>
                  <c:ptCount val="5"/>
                  <c:pt idx="0">
                    <c:v>5733.3234524874633</c:v>
                  </c:pt>
                  <c:pt idx="1">
                    <c:v>10.043524173122682</c:v>
                  </c:pt>
                  <c:pt idx="2">
                    <c:v>5718.9571031814585</c:v>
                  </c:pt>
                  <c:pt idx="3">
                    <c:v>13424.017505109041</c:v>
                  </c:pt>
                  <c:pt idx="4">
                    <c:v>17349.948945046573</c:v>
                  </c:pt>
                </c:numCache>
              </c:numRef>
            </c:plus>
            <c:minus>
              <c:numRef>
                <c:f>Copper!$R$28:$R$32</c:f>
                <c:numCache>
                  <c:formatCode>General</c:formatCode>
                  <c:ptCount val="5"/>
                  <c:pt idx="0">
                    <c:v>5733.3234524874633</c:v>
                  </c:pt>
                  <c:pt idx="1">
                    <c:v>10.043524173122682</c:v>
                  </c:pt>
                  <c:pt idx="2">
                    <c:v>5718.9571031814585</c:v>
                  </c:pt>
                  <c:pt idx="3">
                    <c:v>13424.017505109041</c:v>
                  </c:pt>
                  <c:pt idx="4">
                    <c:v>17349.948945046573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Copper!$P$28:$P$32</c:f>
              <c:strCache>
                <c:ptCount val="5"/>
                <c:pt idx="0">
                  <c:v>Pre mix</c:v>
                </c:pt>
                <c:pt idx="1">
                  <c:v>Pre 600</c:v>
                </c:pt>
                <c:pt idx="2">
                  <c:v>Pre 125</c:v>
                </c:pt>
                <c:pt idx="3">
                  <c:v>Pre 75</c:v>
                </c:pt>
                <c:pt idx="4">
                  <c:v>Pre 30</c:v>
                </c:pt>
              </c:strCache>
            </c:strRef>
          </c:cat>
          <c:val>
            <c:numRef>
              <c:f>Copper!$Q$28:$Q$32</c:f>
              <c:numCache>
                <c:formatCode>General</c:formatCode>
                <c:ptCount val="5"/>
                <c:pt idx="0">
                  <c:v>7285.9933234311566</c:v>
                </c:pt>
                <c:pt idx="1">
                  <c:v>259.44966278273836</c:v>
                </c:pt>
                <c:pt idx="2">
                  <c:v>5379.9763479070925</c:v>
                </c:pt>
                <c:pt idx="3">
                  <c:v>27330.206694477001</c:v>
                </c:pt>
                <c:pt idx="4">
                  <c:v>23070.622059567901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C7-4A36-8611-73B984AEF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972255"/>
        <c:axId val="172983775"/>
      </c:barChart>
      <c:catAx>
        <c:axId val="17297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83775"/>
        <c:crosses val="autoZero"/>
        <c:auto val="1"/>
        <c:lblAlgn val="ctr"/>
        <c:lblOffset val="100"/>
        <c:noMultiLvlLbl val="0"/>
      </c:catAx>
      <c:valAx>
        <c:axId val="17298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72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Post Mix fraction conc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Copper!$R$20:$R$24</c:f>
                <c:numCache>
                  <c:formatCode>General</c:formatCode>
                  <c:ptCount val="5"/>
                  <c:pt idx="0">
                    <c:v>177.7386391048517</c:v>
                  </c:pt>
                  <c:pt idx="1">
                    <c:v>165.24793068557088</c:v>
                  </c:pt>
                  <c:pt idx="2">
                    <c:v>80.034624057638624</c:v>
                  </c:pt>
                  <c:pt idx="3">
                    <c:v>271.23404112347714</c:v>
                  </c:pt>
                  <c:pt idx="4">
                    <c:v>226.77913885469502</c:v>
                  </c:pt>
                </c:numCache>
              </c:numRef>
            </c:plus>
            <c:minus>
              <c:numRef>
                <c:f>Copper!$R$20:$R$24</c:f>
                <c:numCache>
                  <c:formatCode>General</c:formatCode>
                  <c:ptCount val="5"/>
                  <c:pt idx="0">
                    <c:v>177.7386391048517</c:v>
                  </c:pt>
                  <c:pt idx="1">
                    <c:v>165.24793068557088</c:v>
                  </c:pt>
                  <c:pt idx="2">
                    <c:v>80.034624057638624</c:v>
                  </c:pt>
                  <c:pt idx="3">
                    <c:v>271.23404112347714</c:v>
                  </c:pt>
                  <c:pt idx="4">
                    <c:v>226.77913885469502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Copper!$P$20:$P$24</c:f>
              <c:strCache>
                <c:ptCount val="5"/>
                <c:pt idx="0">
                  <c:v>PostMix </c:v>
                </c:pt>
                <c:pt idx="1">
                  <c:v>Post 600</c:v>
                </c:pt>
                <c:pt idx="2">
                  <c:v>Post 125 </c:v>
                </c:pt>
                <c:pt idx="3">
                  <c:v>Post 75 </c:v>
                </c:pt>
                <c:pt idx="4">
                  <c:v>Post 30</c:v>
                </c:pt>
              </c:strCache>
            </c:strRef>
          </c:cat>
          <c:val>
            <c:numRef>
              <c:f>Copper!$Q$20:$Q$24</c:f>
              <c:numCache>
                <c:formatCode>General</c:formatCode>
                <c:ptCount val="5"/>
                <c:pt idx="0">
                  <c:v>2386.0921542199835</c:v>
                </c:pt>
                <c:pt idx="1">
                  <c:v>568.58112545418237</c:v>
                </c:pt>
                <c:pt idx="2">
                  <c:v>2673.9387175139432</c:v>
                </c:pt>
                <c:pt idx="3">
                  <c:v>2682.0768637261367</c:v>
                </c:pt>
                <c:pt idx="4">
                  <c:v>4275.8329846862698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5-4B63-B818-BF9E718B1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6384063"/>
        <c:axId val="306382623"/>
      </c:barChart>
      <c:catAx>
        <c:axId val="30638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Sieve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382623"/>
        <c:crosses val="autoZero"/>
        <c:auto val="1"/>
        <c:lblAlgn val="ctr"/>
        <c:lblOffset val="100"/>
        <c:noMultiLvlLbl val="0"/>
      </c:catAx>
      <c:valAx>
        <c:axId val="30638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 Conc. [ ug/l 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38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50</xdr:row>
      <xdr:rowOff>0</xdr:rowOff>
    </xdr:from>
    <xdr:to>
      <xdr:col>28</xdr:col>
      <xdr:colOff>473126</xdr:colOff>
      <xdr:row>87</xdr:row>
      <xdr:rowOff>151500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7CD1B1-4F0A-47EE-A1F5-8B31D2FE8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" y="9601200"/>
          <a:ext cx="18276190" cy="72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16</xdr:col>
      <xdr:colOff>160346</xdr:colOff>
      <xdr:row>126</xdr:row>
      <xdr:rowOff>75333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C8B17E-24DA-4C96-94FD-86DBF8E11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" y="17221200"/>
          <a:ext cx="10228571" cy="6933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90</xdr:row>
      <xdr:rowOff>0</xdr:rowOff>
    </xdr:from>
    <xdr:to>
      <xdr:col>16</xdr:col>
      <xdr:colOff>554953</xdr:colOff>
      <xdr:row>126</xdr:row>
      <xdr:rowOff>75333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C0D300-7884-4455-BAFA-057FE9F7A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7850" y="16662400"/>
          <a:ext cx="10714046" cy="6704733"/>
        </a:xfrm>
        <a:prstGeom prst="rect">
          <a:avLst/>
        </a:prstGeom>
      </xdr:spPr>
    </xdr:pic>
    <xdr:clientData/>
  </xdr:twoCellAnchor>
  <xdr:twoCellAnchor>
    <xdr:from>
      <xdr:col>14</xdr:col>
      <xdr:colOff>549413</xdr:colOff>
      <xdr:row>33</xdr:row>
      <xdr:rowOff>30921</xdr:rowOff>
    </xdr:from>
    <xdr:to>
      <xdr:col>21</xdr:col>
      <xdr:colOff>245717</xdr:colOff>
      <xdr:row>48</xdr:row>
      <xdr:rowOff>40860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40F2A0-879B-D4F4-0DF3-F15D890D4A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732929</xdr:colOff>
      <xdr:row>12</xdr:row>
      <xdr:rowOff>87437</xdr:rowOff>
    </xdr:from>
    <xdr:to>
      <xdr:col>26</xdr:col>
      <xdr:colOff>530412</xdr:colOff>
      <xdr:row>30</xdr:row>
      <xdr:rowOff>7470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1DBB74-F4E2-83A9-852C-5328A487A9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N48"/>
  <sheetViews>
    <sheetView zoomScale="70" zoomScaleNormal="70" workbookViewId="0">
      <pane xSplit="8" topLeftCell="BB1" activePane="topRight" state="frozen"/>
      <selection activeCell="A8" sqref="A8"/>
      <selection pane="topRight" activeCell="I16" sqref="I16"/>
    </sheetView>
  </sheetViews>
  <sheetFormatPr defaultColWidth="9.1796875" defaultRowHeight="14.5" x14ac:dyDescent="0.35"/>
  <cols>
    <col min="1" max="1" width="4" style="2" customWidth="1"/>
    <col min="2" max="2" width="4.26953125" style="2" customWidth="1"/>
    <col min="3" max="3" width="8.26953125" style="2" customWidth="1"/>
    <col min="4" max="4" width="21.1796875" style="2" customWidth="1"/>
    <col min="5" max="5" width="11" style="2" customWidth="1"/>
    <col min="6" max="6" width="5.81640625" style="2" customWidth="1"/>
    <col min="7" max="8" width="12.453125" style="2" customWidth="1"/>
    <col min="9" max="9" width="11.7265625" style="2" customWidth="1"/>
    <col min="10" max="10" width="9" style="2" customWidth="1"/>
    <col min="11" max="11" width="11" style="2" customWidth="1"/>
    <col min="12" max="12" width="8.7265625" style="2" customWidth="1"/>
    <col min="13" max="13" width="10.7265625" style="2" customWidth="1"/>
    <col min="14" max="14" width="9" style="2" customWidth="1"/>
    <col min="15" max="15" width="11" style="2" customWidth="1"/>
    <col min="16" max="16" width="8.7265625" style="2" customWidth="1"/>
    <col min="17" max="17" width="11.7265625" style="2" customWidth="1"/>
    <col min="18" max="18" width="9" style="2" customWidth="1"/>
    <col min="19" max="19" width="11" style="2" customWidth="1"/>
    <col min="20" max="20" width="8.7265625" style="2" customWidth="1"/>
    <col min="21" max="21" width="9.7265625" style="2" customWidth="1"/>
    <col min="22" max="22" width="9" style="2" customWidth="1"/>
    <col min="23" max="23" width="11" style="2" customWidth="1"/>
    <col min="24" max="25" width="8.7265625" style="2" customWidth="1"/>
    <col min="26" max="26" width="9" style="2" customWidth="1"/>
    <col min="27" max="27" width="11" style="2" customWidth="1"/>
    <col min="28" max="28" width="8.7265625" style="2" customWidth="1"/>
    <col min="29" max="29" width="9.7265625" style="2" customWidth="1"/>
    <col min="30" max="30" width="9" style="2" customWidth="1"/>
    <col min="31" max="31" width="11" style="2" customWidth="1"/>
    <col min="32" max="32" width="8.7265625" style="2" customWidth="1"/>
    <col min="33" max="33" width="10.7265625" style="2" customWidth="1"/>
    <col min="34" max="34" width="9" style="2" customWidth="1"/>
    <col min="35" max="35" width="11" style="2" customWidth="1"/>
    <col min="36" max="36" width="8.7265625" style="2" customWidth="1"/>
    <col min="37" max="37" width="10.7265625" style="2" customWidth="1"/>
    <col min="38" max="38" width="9" style="2" customWidth="1"/>
    <col min="39" max="39" width="11" style="2" customWidth="1"/>
    <col min="40" max="40" width="8.7265625" style="2" customWidth="1"/>
    <col min="41" max="41" width="12.7265625" style="2" customWidth="1"/>
    <col min="42" max="42" width="9" style="2" customWidth="1"/>
    <col min="43" max="43" width="11" style="2" customWidth="1"/>
    <col min="44" max="44" width="8.7265625" style="2" customWidth="1"/>
    <col min="45" max="45" width="11.7265625" style="2" customWidth="1"/>
    <col min="46" max="46" width="9" style="2" customWidth="1"/>
    <col min="47" max="47" width="11" style="2" customWidth="1"/>
    <col min="48" max="48" width="8.7265625" style="2" customWidth="1"/>
    <col min="49" max="49" width="10.7265625" style="2" customWidth="1"/>
    <col min="50" max="50" width="9" style="2" customWidth="1"/>
    <col min="51" max="51" width="11" style="2" customWidth="1"/>
    <col min="52" max="52" width="8.7265625" style="2" customWidth="1"/>
    <col min="53" max="53" width="13.7265625" style="2" customWidth="1"/>
    <col min="54" max="54" width="9" style="2" customWidth="1"/>
    <col min="55" max="55" width="11" style="2" customWidth="1"/>
    <col min="56" max="56" width="8.7265625" style="2" customWidth="1"/>
    <col min="57" max="57" width="10.7265625" style="2" customWidth="1"/>
    <col min="58" max="58" width="9" style="2" customWidth="1"/>
    <col min="59" max="59" width="11" style="2" customWidth="1"/>
    <col min="60" max="60" width="8.7265625" style="2" customWidth="1"/>
    <col min="61" max="61" width="10.7265625" style="2" customWidth="1"/>
    <col min="62" max="62" width="9" style="2" customWidth="1"/>
    <col min="63" max="63" width="11" style="2" customWidth="1"/>
    <col min="64" max="64" width="8.7265625" style="2" customWidth="1"/>
    <col min="65" max="65" width="11.7265625" style="2" customWidth="1"/>
    <col min="66" max="66" width="9" style="2" customWidth="1"/>
    <col min="67" max="67" width="11" style="2" customWidth="1"/>
    <col min="68" max="68" width="8.7265625" style="2" customWidth="1"/>
    <col min="69" max="69" width="10.7265625" style="2" customWidth="1"/>
    <col min="70" max="70" width="9" style="2" customWidth="1"/>
    <col min="71" max="71" width="11" style="2" customWidth="1"/>
    <col min="72" max="72" width="8.7265625" style="2" customWidth="1"/>
    <col min="73" max="73" width="10.7265625" style="2" customWidth="1"/>
    <col min="74" max="74" width="9" style="2" customWidth="1"/>
    <col min="75" max="75" width="11" style="2" customWidth="1"/>
    <col min="76" max="76" width="8.7265625" style="2" customWidth="1"/>
    <col min="77" max="77" width="12.7265625" style="2" customWidth="1"/>
    <col min="78" max="78" width="9" style="2" customWidth="1"/>
    <col min="79" max="79" width="11" style="2" customWidth="1"/>
    <col min="80" max="80" width="8.7265625" style="2" customWidth="1"/>
    <col min="81" max="81" width="10.7265625" style="2" customWidth="1"/>
    <col min="82" max="82" width="9" style="2" customWidth="1"/>
    <col min="83" max="83" width="9.7265625" style="2" customWidth="1"/>
    <col min="84" max="84" width="9" style="2" customWidth="1"/>
    <col min="85" max="85" width="11.7265625" style="2" customWidth="1"/>
    <col min="86" max="86" width="9" style="2" customWidth="1"/>
    <col min="87" max="87" width="10.7265625" style="2" customWidth="1"/>
    <col min="88" max="88" width="9" style="2" customWidth="1"/>
    <col min="89" max="89" width="10.7265625" style="2" customWidth="1"/>
    <col min="90" max="90" width="9" style="2" customWidth="1"/>
    <col min="91" max="91" width="10.7265625" style="2" customWidth="1"/>
    <col min="92" max="92" width="9" style="2" customWidth="1"/>
    <col min="93" max="16384" width="9.1796875" style="2"/>
  </cols>
  <sheetData>
    <row r="1" spans="1:92" ht="18" customHeight="1" x14ac:dyDescent="0.35">
      <c r="A1" s="17" t="s">
        <v>30</v>
      </c>
      <c r="B1" s="18"/>
      <c r="C1" s="18"/>
      <c r="D1" s="18"/>
      <c r="E1" s="18"/>
      <c r="F1" s="18"/>
      <c r="G1" s="19"/>
      <c r="H1" s="1"/>
      <c r="I1" s="17" t="s">
        <v>136</v>
      </c>
      <c r="J1" s="18"/>
      <c r="K1" s="18"/>
      <c r="L1" s="19"/>
      <c r="M1" s="17" t="s">
        <v>14</v>
      </c>
      <c r="N1" s="18"/>
      <c r="O1" s="18"/>
      <c r="P1" s="19"/>
      <c r="Q1" s="17" t="s">
        <v>91</v>
      </c>
      <c r="R1" s="18"/>
      <c r="S1" s="18"/>
      <c r="T1" s="19"/>
      <c r="U1" s="17" t="s">
        <v>65</v>
      </c>
      <c r="V1" s="18"/>
      <c r="W1" s="18"/>
      <c r="X1" s="19"/>
      <c r="Y1" s="17" t="s">
        <v>15</v>
      </c>
      <c r="Z1" s="18"/>
      <c r="AA1" s="18"/>
      <c r="AB1" s="19"/>
      <c r="AC1" s="17" t="s">
        <v>24</v>
      </c>
      <c r="AD1" s="18"/>
      <c r="AE1" s="18"/>
      <c r="AF1" s="19"/>
      <c r="AG1" s="17" t="s">
        <v>117</v>
      </c>
      <c r="AH1" s="18"/>
      <c r="AI1" s="18"/>
      <c r="AJ1" s="19"/>
      <c r="AK1" s="17" t="s">
        <v>22</v>
      </c>
      <c r="AL1" s="18"/>
      <c r="AM1" s="18"/>
      <c r="AN1" s="19"/>
      <c r="AO1" s="17" t="s">
        <v>105</v>
      </c>
      <c r="AP1" s="18"/>
      <c r="AQ1" s="18"/>
      <c r="AR1" s="19"/>
      <c r="AS1" s="17" t="s">
        <v>88</v>
      </c>
      <c r="AT1" s="18"/>
      <c r="AU1" s="18"/>
      <c r="AV1" s="19"/>
      <c r="AW1" s="17" t="s">
        <v>63</v>
      </c>
      <c r="AX1" s="18"/>
      <c r="AY1" s="18"/>
      <c r="AZ1" s="19"/>
      <c r="BA1" s="17" t="s">
        <v>96</v>
      </c>
      <c r="BB1" s="18"/>
      <c r="BC1" s="18"/>
      <c r="BD1" s="19"/>
      <c r="BE1" s="17" t="s">
        <v>94</v>
      </c>
      <c r="BF1" s="18"/>
      <c r="BG1" s="18"/>
      <c r="BH1" s="19"/>
      <c r="BI1" s="17" t="s">
        <v>2</v>
      </c>
      <c r="BJ1" s="18"/>
      <c r="BK1" s="18"/>
      <c r="BL1" s="19"/>
      <c r="BM1" s="17" t="s">
        <v>25</v>
      </c>
      <c r="BN1" s="18"/>
      <c r="BO1" s="18"/>
      <c r="BP1" s="19"/>
      <c r="BQ1" s="17" t="s">
        <v>112</v>
      </c>
      <c r="BR1" s="18"/>
      <c r="BS1" s="18"/>
      <c r="BT1" s="19"/>
      <c r="BU1" s="17" t="s">
        <v>35</v>
      </c>
      <c r="BV1" s="18"/>
      <c r="BW1" s="18"/>
      <c r="BX1" s="19"/>
      <c r="BY1" s="17" t="s">
        <v>148</v>
      </c>
      <c r="BZ1" s="18"/>
      <c r="CA1" s="18"/>
      <c r="CB1" s="19"/>
      <c r="CC1" s="17" t="s">
        <v>101</v>
      </c>
      <c r="CD1" s="19"/>
      <c r="CE1" s="17" t="s">
        <v>54</v>
      </c>
      <c r="CF1" s="19"/>
      <c r="CG1" s="17" t="s">
        <v>98</v>
      </c>
      <c r="CH1" s="19"/>
      <c r="CI1" s="17" t="s">
        <v>20</v>
      </c>
      <c r="CJ1" s="19"/>
      <c r="CK1" s="17" t="s">
        <v>9</v>
      </c>
      <c r="CL1" s="19"/>
      <c r="CM1" s="17" t="s">
        <v>134</v>
      </c>
      <c r="CN1" s="19"/>
    </row>
    <row r="2" spans="1:92" ht="18" customHeight="1" x14ac:dyDescent="0.35">
      <c r="A2" s="3" t="s">
        <v>133</v>
      </c>
      <c r="B2" s="3" t="s">
        <v>151</v>
      </c>
      <c r="C2" s="3" t="s">
        <v>61</v>
      </c>
      <c r="D2" s="3" t="s">
        <v>84</v>
      </c>
      <c r="E2" s="3" t="s">
        <v>78</v>
      </c>
      <c r="F2" s="3" t="s">
        <v>31</v>
      </c>
      <c r="G2" s="3" t="s">
        <v>128</v>
      </c>
      <c r="H2" s="3" t="s">
        <v>30</v>
      </c>
      <c r="I2" s="3" t="s">
        <v>121</v>
      </c>
      <c r="J2" s="3" t="s">
        <v>119</v>
      </c>
      <c r="K2" s="3" t="s">
        <v>58</v>
      </c>
      <c r="L2" s="3" t="s">
        <v>129</v>
      </c>
      <c r="M2" s="3" t="s">
        <v>121</v>
      </c>
      <c r="N2" s="3" t="s">
        <v>119</v>
      </c>
      <c r="O2" s="3" t="s">
        <v>58</v>
      </c>
      <c r="P2" s="3" t="s">
        <v>129</v>
      </c>
      <c r="Q2" s="3" t="s">
        <v>121</v>
      </c>
      <c r="R2" s="3" t="s">
        <v>119</v>
      </c>
      <c r="S2" s="3" t="s">
        <v>58</v>
      </c>
      <c r="T2" s="3" t="s">
        <v>129</v>
      </c>
      <c r="U2" s="3" t="s">
        <v>121</v>
      </c>
      <c r="V2" s="3" t="s">
        <v>119</v>
      </c>
      <c r="W2" s="3" t="s">
        <v>58</v>
      </c>
      <c r="X2" s="3" t="s">
        <v>129</v>
      </c>
      <c r="Y2" s="3" t="s">
        <v>121</v>
      </c>
      <c r="Z2" s="3" t="s">
        <v>119</v>
      </c>
      <c r="AA2" s="3" t="s">
        <v>58</v>
      </c>
      <c r="AB2" s="3" t="s">
        <v>129</v>
      </c>
      <c r="AC2" s="3" t="s">
        <v>121</v>
      </c>
      <c r="AD2" s="3" t="s">
        <v>119</v>
      </c>
      <c r="AE2" s="3" t="s">
        <v>58</v>
      </c>
      <c r="AF2" s="3" t="s">
        <v>129</v>
      </c>
      <c r="AG2" s="3" t="s">
        <v>121</v>
      </c>
      <c r="AH2" s="3" t="s">
        <v>119</v>
      </c>
      <c r="AI2" s="3" t="s">
        <v>58</v>
      </c>
      <c r="AJ2" s="3" t="s">
        <v>129</v>
      </c>
      <c r="AK2" s="3" t="s">
        <v>121</v>
      </c>
      <c r="AL2" s="3" t="s">
        <v>119</v>
      </c>
      <c r="AM2" s="3" t="s">
        <v>58</v>
      </c>
      <c r="AN2" s="3" t="s">
        <v>129</v>
      </c>
      <c r="AO2" s="3" t="s">
        <v>121</v>
      </c>
      <c r="AP2" s="3" t="s">
        <v>119</v>
      </c>
      <c r="AQ2" s="3" t="s">
        <v>58</v>
      </c>
      <c r="AR2" s="3" t="s">
        <v>129</v>
      </c>
      <c r="AS2" s="3" t="s">
        <v>121</v>
      </c>
      <c r="AT2" s="3" t="s">
        <v>119</v>
      </c>
      <c r="AU2" s="3" t="s">
        <v>58</v>
      </c>
      <c r="AV2" s="3" t="s">
        <v>129</v>
      </c>
      <c r="AW2" s="3" t="s">
        <v>121</v>
      </c>
      <c r="AX2" s="3" t="s">
        <v>119</v>
      </c>
      <c r="AY2" s="3" t="s">
        <v>58</v>
      </c>
      <c r="AZ2" s="3" t="s">
        <v>129</v>
      </c>
      <c r="BA2" s="3" t="s">
        <v>121</v>
      </c>
      <c r="BB2" s="3" t="s">
        <v>119</v>
      </c>
      <c r="BC2" s="3" t="s">
        <v>58</v>
      </c>
      <c r="BD2" s="3" t="s">
        <v>129</v>
      </c>
      <c r="BE2" s="3" t="s">
        <v>121</v>
      </c>
      <c r="BF2" s="3" t="s">
        <v>119</v>
      </c>
      <c r="BG2" s="3" t="s">
        <v>58</v>
      </c>
      <c r="BH2" s="3" t="s">
        <v>129</v>
      </c>
      <c r="BI2" s="3" t="s">
        <v>121</v>
      </c>
      <c r="BJ2" s="3" t="s">
        <v>119</v>
      </c>
      <c r="BK2" s="3" t="s">
        <v>58</v>
      </c>
      <c r="BL2" s="3" t="s">
        <v>129</v>
      </c>
      <c r="BM2" s="3" t="s">
        <v>121</v>
      </c>
      <c r="BN2" s="3" t="s">
        <v>119</v>
      </c>
      <c r="BO2" s="3" t="s">
        <v>58</v>
      </c>
      <c r="BP2" s="3" t="s">
        <v>129</v>
      </c>
      <c r="BQ2" s="3" t="s">
        <v>121</v>
      </c>
      <c r="BR2" s="3" t="s">
        <v>119</v>
      </c>
      <c r="BS2" s="3" t="s">
        <v>58</v>
      </c>
      <c r="BT2" s="3" t="s">
        <v>129</v>
      </c>
      <c r="BU2" s="3" t="s">
        <v>121</v>
      </c>
      <c r="BV2" s="3" t="s">
        <v>119</v>
      </c>
      <c r="BW2" s="3" t="s">
        <v>58</v>
      </c>
      <c r="BX2" s="3" t="s">
        <v>129</v>
      </c>
      <c r="BY2" s="3" t="s">
        <v>121</v>
      </c>
      <c r="BZ2" s="3" t="s">
        <v>119</v>
      </c>
      <c r="CA2" s="3" t="s">
        <v>58</v>
      </c>
      <c r="CB2" s="3" t="s">
        <v>129</v>
      </c>
      <c r="CC2" s="3" t="s">
        <v>121</v>
      </c>
      <c r="CD2" s="3" t="s">
        <v>119</v>
      </c>
      <c r="CE2" s="3" t="s">
        <v>121</v>
      </c>
      <c r="CF2" s="3" t="s">
        <v>119</v>
      </c>
      <c r="CG2" s="3" t="s">
        <v>121</v>
      </c>
      <c r="CH2" s="3" t="s">
        <v>119</v>
      </c>
      <c r="CI2" s="3" t="s">
        <v>121</v>
      </c>
      <c r="CJ2" s="3" t="s">
        <v>119</v>
      </c>
      <c r="CK2" s="3" t="s">
        <v>121</v>
      </c>
      <c r="CL2" s="3" t="s">
        <v>119</v>
      </c>
      <c r="CM2" s="3" t="s">
        <v>121</v>
      </c>
      <c r="CN2" s="3" t="s">
        <v>119</v>
      </c>
    </row>
    <row r="3" spans="1:92" x14ac:dyDescent="0.35">
      <c r="A3" s="4"/>
      <c r="B3" s="4" t="b">
        <v>0</v>
      </c>
      <c r="C3" s="4" t="s">
        <v>80</v>
      </c>
      <c r="D3" s="5">
        <v>46212.457546296297</v>
      </c>
      <c r="E3" s="6" t="s">
        <v>30</v>
      </c>
      <c r="F3" s="7"/>
      <c r="G3" s="4" t="s">
        <v>1</v>
      </c>
      <c r="H3" s="4"/>
      <c r="I3" s="8">
        <v>5388.33</v>
      </c>
      <c r="J3" s="8">
        <v>3.09431386329006</v>
      </c>
      <c r="K3" s="8"/>
      <c r="L3" s="8"/>
      <c r="M3" s="7">
        <v>141.816666666667</v>
      </c>
      <c r="N3" s="7">
        <v>20.066458847116898</v>
      </c>
      <c r="O3" s="7"/>
      <c r="P3" s="7"/>
      <c r="Q3" s="8">
        <v>43.376666666666701</v>
      </c>
      <c r="R3" s="8">
        <v>26.646935501059701</v>
      </c>
      <c r="S3" s="8"/>
      <c r="T3" s="8"/>
      <c r="U3" s="7">
        <v>5156.33</v>
      </c>
      <c r="V3" s="7">
        <v>4.7576197155036803</v>
      </c>
      <c r="W3" s="7"/>
      <c r="X3" s="7"/>
      <c r="Y3" s="8">
        <v>3.34</v>
      </c>
      <c r="Z3" s="8">
        <v>86.602540378443905</v>
      </c>
      <c r="AA3" s="8"/>
      <c r="AB3" s="8"/>
      <c r="AC3" s="7">
        <v>1032.7933333333301</v>
      </c>
      <c r="AD3" s="7">
        <v>4.5036051785269002</v>
      </c>
      <c r="AE3" s="7"/>
      <c r="AF3" s="7"/>
      <c r="AG3" s="8">
        <v>4901</v>
      </c>
      <c r="AH3" s="8">
        <v>1.0669573090326501</v>
      </c>
      <c r="AI3" s="8"/>
      <c r="AJ3" s="8"/>
      <c r="AK3" s="7">
        <v>1973.87666666667</v>
      </c>
      <c r="AL3" s="7">
        <v>1.30170535785387</v>
      </c>
      <c r="AM3" s="7"/>
      <c r="AN3" s="7"/>
      <c r="AO3" s="8">
        <v>51087.3766666667</v>
      </c>
      <c r="AP3" s="8">
        <v>0.69328281821143301</v>
      </c>
      <c r="AQ3" s="8"/>
      <c r="AR3" s="8"/>
      <c r="AS3" s="7">
        <v>779.17333333333295</v>
      </c>
      <c r="AT3" s="7">
        <v>15.097905701436</v>
      </c>
      <c r="AU3" s="7"/>
      <c r="AV3" s="7"/>
      <c r="AW3" s="8">
        <v>1671.85666666667</v>
      </c>
      <c r="AX3" s="8">
        <v>4.6769632910229504</v>
      </c>
      <c r="AY3" s="8"/>
      <c r="AZ3" s="8"/>
      <c r="BA3" s="7">
        <v>1064.4933333333299</v>
      </c>
      <c r="BB3" s="7">
        <v>4.4435727054341099</v>
      </c>
      <c r="BC3" s="7"/>
      <c r="BD3" s="7"/>
      <c r="BE3" s="8">
        <v>1701.89333333333</v>
      </c>
      <c r="BF3" s="8">
        <v>13.973239771615001</v>
      </c>
      <c r="BG3" s="8"/>
      <c r="BH3" s="8"/>
      <c r="BI3" s="7">
        <v>76.746666666666698</v>
      </c>
      <c r="BJ3" s="7">
        <v>32.1717792481329</v>
      </c>
      <c r="BK3" s="7"/>
      <c r="BL3" s="7"/>
      <c r="BM3" s="8">
        <v>6130.2633333333297</v>
      </c>
      <c r="BN3" s="8">
        <v>3.2262670462047098</v>
      </c>
      <c r="BO3" s="8"/>
      <c r="BP3" s="8"/>
      <c r="BQ3" s="7">
        <v>68.406666666666695</v>
      </c>
      <c r="BR3" s="7">
        <v>18.4157900062736</v>
      </c>
      <c r="BS3" s="7"/>
      <c r="BT3" s="7"/>
      <c r="BU3" s="8">
        <v>111.786666666667</v>
      </c>
      <c r="BV3" s="8">
        <v>30.4779546743314</v>
      </c>
      <c r="BW3" s="8"/>
      <c r="BX3" s="8"/>
      <c r="BY3" s="7">
        <v>1773.6566666666699</v>
      </c>
      <c r="BZ3" s="7">
        <v>7.4155745495756502</v>
      </c>
      <c r="CA3" s="7"/>
      <c r="CB3" s="7"/>
      <c r="CC3" s="8">
        <v>129717.89333333301</v>
      </c>
      <c r="CD3" s="8">
        <v>4.2824890784466998</v>
      </c>
      <c r="CE3" s="7">
        <v>15648.1</v>
      </c>
      <c r="CF3" s="7">
        <v>6.67608319144811</v>
      </c>
      <c r="CG3" s="8">
        <v>541275.29</v>
      </c>
      <c r="CH3" s="8">
        <v>5.1779265489170099</v>
      </c>
      <c r="CI3" s="7">
        <v>76933.33</v>
      </c>
      <c r="CJ3" s="7">
        <v>4.0969595324549299</v>
      </c>
      <c r="CK3" s="8">
        <v>305409.28999999998</v>
      </c>
      <c r="CL3" s="8">
        <v>5.6185459822539103</v>
      </c>
      <c r="CM3" s="7">
        <v>524555.30333333299</v>
      </c>
      <c r="CN3" s="7">
        <v>7.3444258236653202</v>
      </c>
    </row>
    <row r="4" spans="1:92" x14ac:dyDescent="0.35">
      <c r="A4" s="4"/>
      <c r="B4" s="4" t="b">
        <v>0</v>
      </c>
      <c r="C4" s="4" t="s">
        <v>115</v>
      </c>
      <c r="D4" s="5">
        <v>46212.4605787037</v>
      </c>
      <c r="E4" s="6" t="s">
        <v>49</v>
      </c>
      <c r="F4" s="7" t="s">
        <v>109</v>
      </c>
      <c r="G4" s="4" t="s">
        <v>137</v>
      </c>
      <c r="H4" s="4"/>
      <c r="I4" s="8">
        <v>1907.13</v>
      </c>
      <c r="J4" s="8">
        <v>3.2787090318181602</v>
      </c>
      <c r="K4" s="8">
        <v>0</v>
      </c>
      <c r="L4" s="8">
        <v>0.23425952534412001</v>
      </c>
      <c r="M4" s="7">
        <v>225.24</v>
      </c>
      <c r="N4" s="7">
        <v>11.112591014029499</v>
      </c>
      <c r="O4" s="7">
        <v>0</v>
      </c>
      <c r="P4" s="7">
        <v>0.185589971192341</v>
      </c>
      <c r="Q4" s="8">
        <v>21.6933333333333</v>
      </c>
      <c r="R4" s="8">
        <v>133.203968836543</v>
      </c>
      <c r="S4" s="8">
        <v>0</v>
      </c>
      <c r="T4" s="8">
        <v>0.68911279760788602</v>
      </c>
      <c r="U4" s="7">
        <v>3953.04</v>
      </c>
      <c r="V4" s="7">
        <v>4.8171959591029898</v>
      </c>
      <c r="W4" s="7">
        <v>0</v>
      </c>
      <c r="X4" s="7">
        <v>2.7116759422683998</v>
      </c>
      <c r="Y4" s="8">
        <v>26.696666666666701</v>
      </c>
      <c r="Z4" s="8">
        <v>92.486333550881596</v>
      </c>
      <c r="AA4" s="8">
        <v>0</v>
      </c>
      <c r="AB4" s="8">
        <v>14.251947912896799</v>
      </c>
      <c r="AC4" s="7">
        <v>1268.0633333333301</v>
      </c>
      <c r="AD4" s="7">
        <v>3.9542057442083598</v>
      </c>
      <c r="AE4" s="7">
        <v>0</v>
      </c>
      <c r="AF4" s="7">
        <v>2.8661425480835101</v>
      </c>
      <c r="AG4" s="8">
        <v>101.773333333333</v>
      </c>
      <c r="AH4" s="8">
        <v>27.089541997293999</v>
      </c>
      <c r="AI4" s="8">
        <v>0</v>
      </c>
      <c r="AJ4" s="8">
        <v>1.44395059247352E-2</v>
      </c>
      <c r="AK4" s="7">
        <v>1424.91333333333</v>
      </c>
      <c r="AL4" s="7">
        <v>4.3641047036832399</v>
      </c>
      <c r="AM4" s="7">
        <v>0</v>
      </c>
      <c r="AN4" s="7">
        <v>7.1797706014447099E-2</v>
      </c>
      <c r="AO4" s="8">
        <v>1810.35</v>
      </c>
      <c r="AP4" s="8">
        <v>6.9092566676102196</v>
      </c>
      <c r="AQ4" s="8">
        <v>0</v>
      </c>
      <c r="AR4" s="8">
        <v>2.2549596080299699E-2</v>
      </c>
      <c r="AS4" s="7">
        <v>18.356666666666701</v>
      </c>
      <c r="AT4" s="7">
        <v>62.966510200706303</v>
      </c>
      <c r="AU4" s="7">
        <v>0</v>
      </c>
      <c r="AV4" s="7">
        <v>3.22198581065169E-3</v>
      </c>
      <c r="AW4" s="8">
        <v>28.363333333333301</v>
      </c>
      <c r="AX4" s="8">
        <v>10.177757712827001</v>
      </c>
      <c r="AY4" s="8">
        <v>0</v>
      </c>
      <c r="AZ4" s="8">
        <v>2.81049682214641E-3</v>
      </c>
      <c r="BA4" s="7">
        <v>135.143333333333</v>
      </c>
      <c r="BB4" s="7">
        <v>18.517376735688199</v>
      </c>
      <c r="BC4" s="7">
        <v>0</v>
      </c>
      <c r="BD4" s="7">
        <v>8.7343799173018807E-3</v>
      </c>
      <c r="BE4" s="8">
        <v>684.06666666666695</v>
      </c>
      <c r="BF4" s="8">
        <v>13.598947678632401</v>
      </c>
      <c r="BG4" s="8">
        <v>0</v>
      </c>
      <c r="BH4" s="8">
        <v>0.231139279619031</v>
      </c>
      <c r="BI4" s="7">
        <v>16.686666666666699</v>
      </c>
      <c r="BJ4" s="7">
        <v>75.467387756924694</v>
      </c>
      <c r="BK4" s="7">
        <v>0</v>
      </c>
      <c r="BL4" s="7">
        <v>2.9107181290534901E-2</v>
      </c>
      <c r="BM4" s="8">
        <v>114.946666666667</v>
      </c>
      <c r="BN4" s="8">
        <v>44.124230323170899</v>
      </c>
      <c r="BO4" s="8">
        <v>0</v>
      </c>
      <c r="BP4" s="8">
        <v>9.7677512991411405E-3</v>
      </c>
      <c r="BQ4" s="7">
        <v>0</v>
      </c>
      <c r="BR4" s="7" t="s">
        <v>38</v>
      </c>
      <c r="BS4" s="7">
        <v>0</v>
      </c>
      <c r="BT4" s="7">
        <v>0</v>
      </c>
      <c r="BU4" s="8">
        <v>0</v>
      </c>
      <c r="BV4" s="8" t="s">
        <v>38</v>
      </c>
      <c r="BW4" s="8">
        <v>0</v>
      </c>
      <c r="BX4" s="8">
        <v>0</v>
      </c>
      <c r="BY4" s="7">
        <v>163.506666666667</v>
      </c>
      <c r="BZ4" s="7">
        <v>17.672906898561202</v>
      </c>
      <c r="CA4" s="7">
        <v>0</v>
      </c>
      <c r="CB4" s="7">
        <v>3.8273069573882801E-3</v>
      </c>
      <c r="CC4" s="8">
        <v>247401.51333333299</v>
      </c>
      <c r="CD4" s="8">
        <v>0.86862530254120496</v>
      </c>
      <c r="CE4" s="7">
        <v>20629.453333333298</v>
      </c>
      <c r="CF4" s="7">
        <v>1.5672912231101801</v>
      </c>
      <c r="CG4" s="8">
        <v>1077262.88666667</v>
      </c>
      <c r="CH4" s="8">
        <v>0.227519890779634</v>
      </c>
      <c r="CI4" s="7">
        <v>109865.603333333</v>
      </c>
      <c r="CJ4" s="7">
        <v>0.76841015902825605</v>
      </c>
      <c r="CK4" s="8">
        <v>588044.32666666701</v>
      </c>
      <c r="CL4" s="8">
        <v>0.49187005290305202</v>
      </c>
      <c r="CM4" s="7">
        <v>645253.25666666694</v>
      </c>
      <c r="CN4" s="7">
        <v>0.77542768794262296</v>
      </c>
    </row>
    <row r="5" spans="1:92" x14ac:dyDescent="0.35">
      <c r="A5" s="4"/>
      <c r="B5" s="4" t="b">
        <v>0</v>
      </c>
      <c r="C5" s="4" t="s">
        <v>12</v>
      </c>
      <c r="D5" s="5">
        <v>46212.463807870401</v>
      </c>
      <c r="E5" s="6" t="s">
        <v>90</v>
      </c>
      <c r="F5" s="7" t="s">
        <v>27</v>
      </c>
      <c r="G5" s="4" t="s">
        <v>147</v>
      </c>
      <c r="H5" s="4"/>
      <c r="I5" s="8">
        <v>3562.5166666666701</v>
      </c>
      <c r="J5" s="8">
        <v>2.49969459773979</v>
      </c>
      <c r="K5" s="8">
        <v>6.2017397416846602</v>
      </c>
      <c r="L5" s="8">
        <v>0.33362450354015399</v>
      </c>
      <c r="M5" s="7">
        <v>912.65333333333297</v>
      </c>
      <c r="N5" s="7">
        <v>4.6006005487121504</v>
      </c>
      <c r="O5" s="7">
        <v>5.0969644718563396</v>
      </c>
      <c r="P5" s="7">
        <v>0.31132502093364001</v>
      </c>
      <c r="Q5" s="8">
        <v>216.89666666666699</v>
      </c>
      <c r="R5" s="8">
        <v>1.3309339374881799</v>
      </c>
      <c r="S5" s="8">
        <v>4.6551544036494699</v>
      </c>
      <c r="T5" s="8">
        <v>6.8842437323499997E-2</v>
      </c>
      <c r="U5" s="7">
        <v>4371.8966666666702</v>
      </c>
      <c r="V5" s="7">
        <v>2.13159701051101</v>
      </c>
      <c r="W5" s="7">
        <v>5.9645501988998602</v>
      </c>
      <c r="X5" s="7">
        <v>1.32704990982629</v>
      </c>
      <c r="Y5" s="8">
        <v>35.036666666666697</v>
      </c>
      <c r="Z5" s="8">
        <v>14.28503710161</v>
      </c>
      <c r="AA5" s="8">
        <v>4.8139954466217603</v>
      </c>
      <c r="AB5" s="8">
        <v>2.8889749661866699</v>
      </c>
      <c r="AC5" s="7">
        <v>1199.6466666666699</v>
      </c>
      <c r="AD5" s="7">
        <v>1.3415192030804599</v>
      </c>
      <c r="AE5" s="7" t="s">
        <v>34</v>
      </c>
      <c r="AF5" s="7">
        <v>0.91991526189519601</v>
      </c>
      <c r="AG5" s="8">
        <v>10598.33</v>
      </c>
      <c r="AH5" s="8">
        <v>0.84568608995446903</v>
      </c>
      <c r="AI5" s="8">
        <v>5.4974783346476297</v>
      </c>
      <c r="AJ5" s="8">
        <v>4.6942184611760397E-2</v>
      </c>
      <c r="AK5" s="7">
        <v>6191.1233333333303</v>
      </c>
      <c r="AL5" s="7">
        <v>1.5541070596839299</v>
      </c>
      <c r="AM5" s="7">
        <v>5.5030078208131403</v>
      </c>
      <c r="AN5" s="7">
        <v>0.111090608456341</v>
      </c>
      <c r="AO5" s="8">
        <v>35831.713333333297</v>
      </c>
      <c r="AP5" s="8">
        <v>1.4298194496049099</v>
      </c>
      <c r="AQ5" s="8">
        <v>6.1333338852205896</v>
      </c>
      <c r="AR5" s="8">
        <v>9.2362072550718599E-2</v>
      </c>
      <c r="AS5" s="7">
        <v>20033.13</v>
      </c>
      <c r="AT5" s="7">
        <v>3.51060703888457</v>
      </c>
      <c r="AU5" s="7">
        <v>5.57918617419576</v>
      </c>
      <c r="AV5" s="7">
        <v>0.19604293971962899</v>
      </c>
      <c r="AW5" s="8">
        <v>5818.96</v>
      </c>
      <c r="AX5" s="8">
        <v>1.0265584958467899</v>
      </c>
      <c r="AY5" s="8">
        <v>5.6376360758751201</v>
      </c>
      <c r="AZ5" s="8">
        <v>5.8157107054892902E-2</v>
      </c>
      <c r="BA5" s="7">
        <v>16214.4</v>
      </c>
      <c r="BB5" s="7">
        <v>2.49639548355989</v>
      </c>
      <c r="BC5" s="7">
        <v>5.6120813418606703</v>
      </c>
      <c r="BD5" s="7">
        <v>0.14127725894816201</v>
      </c>
      <c r="BE5" s="8">
        <v>2718.12</v>
      </c>
      <c r="BF5" s="8">
        <v>4.0139650967481604</v>
      </c>
      <c r="BG5" s="8">
        <v>5.0539665132051201</v>
      </c>
      <c r="BH5" s="8">
        <v>0.271089216198448</v>
      </c>
      <c r="BI5" s="7">
        <v>2392.73</v>
      </c>
      <c r="BJ5" s="7">
        <v>3.4568639553251299</v>
      </c>
      <c r="BK5" s="7">
        <v>5.4919376705113203</v>
      </c>
      <c r="BL5" s="7">
        <v>0.19118209917512399</v>
      </c>
      <c r="BM5" s="8">
        <v>23614.2166666667</v>
      </c>
      <c r="BN5" s="8">
        <v>3.5587847786103302</v>
      </c>
      <c r="BO5" s="8">
        <v>4.5255924368847102</v>
      </c>
      <c r="BP5" s="8">
        <v>0.16184390058751799</v>
      </c>
      <c r="BQ5" s="7">
        <v>3275.49</v>
      </c>
      <c r="BR5" s="7">
        <v>1.7047060915349199</v>
      </c>
      <c r="BS5" s="7">
        <v>5.40545537958005</v>
      </c>
      <c r="BT5" s="7">
        <v>9.2147127130906198E-2</v>
      </c>
      <c r="BU5" s="8">
        <v>2294.2800000000002</v>
      </c>
      <c r="BV5" s="8">
        <v>4.97741456934419</v>
      </c>
      <c r="BW5" s="8">
        <v>5.5087146779862799</v>
      </c>
      <c r="BX5" s="8">
        <v>0.27419156696570701</v>
      </c>
      <c r="BY5" s="7">
        <v>41441.436666666697</v>
      </c>
      <c r="BZ5" s="7">
        <v>2.0261236008206098</v>
      </c>
      <c r="CA5" s="7">
        <v>5.4672351123666898</v>
      </c>
      <c r="CB5" s="7">
        <v>0.111211725386457</v>
      </c>
      <c r="CC5" s="8">
        <v>249738.876666667</v>
      </c>
      <c r="CD5" s="8">
        <v>1.06706146755123</v>
      </c>
      <c r="CE5" s="7">
        <v>21167.393333333301</v>
      </c>
      <c r="CF5" s="7">
        <v>1.2254581616170801</v>
      </c>
      <c r="CG5" s="8">
        <v>1085489.0066666701</v>
      </c>
      <c r="CH5" s="8">
        <v>1.70913095698194</v>
      </c>
      <c r="CI5" s="7">
        <v>111346.47</v>
      </c>
      <c r="CJ5" s="7">
        <v>0.91172551472035701</v>
      </c>
      <c r="CK5" s="8">
        <v>589360.68000000005</v>
      </c>
      <c r="CL5" s="8">
        <v>1.2402524841990801</v>
      </c>
      <c r="CM5" s="7">
        <v>650787.65333333297</v>
      </c>
      <c r="CN5" s="7">
        <v>0.45849974916407299</v>
      </c>
    </row>
    <row r="6" spans="1:92" x14ac:dyDescent="0.35">
      <c r="A6" s="4"/>
      <c r="B6" s="4" t="b">
        <v>0</v>
      </c>
      <c r="C6" s="4" t="s">
        <v>106</v>
      </c>
      <c r="D6" s="5">
        <v>46212.466932870397</v>
      </c>
      <c r="E6" s="6" t="s">
        <v>90</v>
      </c>
      <c r="F6" s="7" t="s">
        <v>71</v>
      </c>
      <c r="G6" s="4" t="s">
        <v>124</v>
      </c>
      <c r="H6" s="4"/>
      <c r="I6" s="8">
        <v>16048.82</v>
      </c>
      <c r="J6" s="8">
        <v>1.93272593135007</v>
      </c>
      <c r="K6" s="8">
        <v>52.980420015213703</v>
      </c>
      <c r="L6" s="8">
        <v>1.16205708754146</v>
      </c>
      <c r="M6" s="7">
        <v>7207.6266666666697</v>
      </c>
      <c r="N6" s="7">
        <v>4.3779749095123996</v>
      </c>
      <c r="O6" s="7">
        <v>51.772310839810302</v>
      </c>
      <c r="P6" s="7">
        <v>2.3396947815893401</v>
      </c>
      <c r="Q6" s="8">
        <v>2145.7433333333302</v>
      </c>
      <c r="R6" s="8">
        <v>9.5980043199146792</v>
      </c>
      <c r="S6" s="8">
        <v>50.653749309634399</v>
      </c>
      <c r="T6" s="8">
        <v>4.9114030299691098</v>
      </c>
      <c r="U6" s="7">
        <v>7763.5233333333299</v>
      </c>
      <c r="V6" s="7">
        <v>1.2315481129146399</v>
      </c>
      <c r="W6" s="7">
        <v>54.261567100291998</v>
      </c>
      <c r="X6" s="7">
        <v>1.3615152544520099</v>
      </c>
      <c r="Y6" s="8">
        <v>96.77</v>
      </c>
      <c r="Z6" s="8">
        <v>33.654158451513702</v>
      </c>
      <c r="AA6" s="8">
        <v>40.447566858066601</v>
      </c>
      <c r="AB6" s="8">
        <v>18.7983227048387</v>
      </c>
      <c r="AC6" s="7">
        <v>2084.0066666666698</v>
      </c>
      <c r="AD6" s="7">
        <v>5.81130682985762</v>
      </c>
      <c r="AE6" s="7">
        <v>46.639896405649303</v>
      </c>
      <c r="AF6" s="7">
        <v>6.9226199391276602</v>
      </c>
      <c r="AG6" s="8">
        <v>98673.09</v>
      </c>
      <c r="AH6" s="8">
        <v>0.661892827068291</v>
      </c>
      <c r="AI6" s="8">
        <v>51.625851696066398</v>
      </c>
      <c r="AJ6" s="8">
        <v>0.34206061722579501</v>
      </c>
      <c r="AK6" s="7">
        <v>45872.84</v>
      </c>
      <c r="AL6" s="7">
        <v>0.54632368726073699</v>
      </c>
      <c r="AM6" s="7">
        <v>51.319032956079504</v>
      </c>
      <c r="AN6" s="7">
        <v>0.28935608224286702</v>
      </c>
      <c r="AO6" s="8">
        <v>288190.38333333301</v>
      </c>
      <c r="AP6" s="8">
        <v>1.0135935158096101</v>
      </c>
      <c r="AQ6" s="8">
        <v>51.628276776697902</v>
      </c>
      <c r="AR6" s="8">
        <v>0.52660890963231499</v>
      </c>
      <c r="AS6" s="7">
        <v>185937.05</v>
      </c>
      <c r="AT6" s="7">
        <v>0.467637003331143</v>
      </c>
      <c r="AU6" s="7">
        <v>51.825468422485599</v>
      </c>
      <c r="AV6" s="7">
        <v>0.24237899640058799</v>
      </c>
      <c r="AW6" s="8">
        <v>52646.55</v>
      </c>
      <c r="AX6" s="8">
        <v>1.24573338742594</v>
      </c>
      <c r="AY6" s="8">
        <v>51.228259275376601</v>
      </c>
      <c r="AZ6" s="8">
        <v>0.63851152773068298</v>
      </c>
      <c r="BA6" s="7">
        <v>149247.84</v>
      </c>
      <c r="BB6" s="7">
        <v>1.14888913603298</v>
      </c>
      <c r="BC6" s="7">
        <v>52.044233147440103</v>
      </c>
      <c r="BD6" s="7">
        <v>0.59847245502199498</v>
      </c>
      <c r="BE6" s="8">
        <v>21587.0133333333</v>
      </c>
      <c r="BF6" s="8">
        <v>2.4260144192649502</v>
      </c>
      <c r="BG6" s="8">
        <v>51.937080876597399</v>
      </c>
      <c r="BH6" s="8">
        <v>1.3012356752219401</v>
      </c>
      <c r="BI6" s="7">
        <v>22278.936666666701</v>
      </c>
      <c r="BJ6" s="7">
        <v>1.85047416977918</v>
      </c>
      <c r="BK6" s="7">
        <v>51.456506575500498</v>
      </c>
      <c r="BL6" s="7">
        <v>0.95290307626652804</v>
      </c>
      <c r="BM6" s="8">
        <v>258129.46666666699</v>
      </c>
      <c r="BN6" s="8">
        <v>2.4825651129599802</v>
      </c>
      <c r="BO6" s="8">
        <v>49.6895673916015</v>
      </c>
      <c r="BP6" s="8">
        <v>1.2341254286191901</v>
      </c>
      <c r="BQ6" s="7">
        <v>30941.446666666699</v>
      </c>
      <c r="BR6" s="7">
        <v>0.68980451145960997</v>
      </c>
      <c r="BS6" s="7">
        <v>51.0618592443643</v>
      </c>
      <c r="BT6" s="7">
        <v>0.35222700870318202</v>
      </c>
      <c r="BU6" s="8">
        <v>21128.35</v>
      </c>
      <c r="BV6" s="8">
        <v>1.4126110782385399</v>
      </c>
      <c r="BW6" s="8">
        <v>50.730534968108202</v>
      </c>
      <c r="BX6" s="8">
        <v>0.71662515700784901</v>
      </c>
      <c r="BY6" s="7">
        <v>385989.89666666702</v>
      </c>
      <c r="BZ6" s="7">
        <v>0.33931693162620802</v>
      </c>
      <c r="CA6" s="7">
        <v>51.102455638780398</v>
      </c>
      <c r="CB6" s="7">
        <v>0.17347276812956899</v>
      </c>
      <c r="CC6" s="8">
        <v>245947.273333333</v>
      </c>
      <c r="CD6" s="8">
        <v>1.2044852312401699</v>
      </c>
      <c r="CE6" s="7">
        <v>21210.86</v>
      </c>
      <c r="CF6" s="7">
        <v>2.54112060172729</v>
      </c>
      <c r="CG6" s="8">
        <v>1074490.2566666701</v>
      </c>
      <c r="CH6" s="8">
        <v>1.2176871222278101</v>
      </c>
      <c r="CI6" s="7">
        <v>113496.16</v>
      </c>
      <c r="CJ6" s="7">
        <v>1.19355828833527</v>
      </c>
      <c r="CK6" s="8">
        <v>579279.17000000004</v>
      </c>
      <c r="CL6" s="8">
        <v>0.87957372341589202</v>
      </c>
      <c r="CM6" s="7">
        <v>653993.22666666703</v>
      </c>
      <c r="CN6" s="7">
        <v>1.1028089351967101</v>
      </c>
    </row>
    <row r="7" spans="1:92" x14ac:dyDescent="0.35">
      <c r="A7" s="4"/>
      <c r="B7" s="4" t="b">
        <v>0</v>
      </c>
      <c r="C7" s="4" t="s">
        <v>111</v>
      </c>
      <c r="D7" s="5">
        <v>46212.470162037003</v>
      </c>
      <c r="E7" s="6" t="s">
        <v>90</v>
      </c>
      <c r="F7" s="7" t="s">
        <v>140</v>
      </c>
      <c r="G7" s="4" t="s">
        <v>44</v>
      </c>
      <c r="H7" s="4"/>
      <c r="I7" s="8">
        <v>31303.9666666667</v>
      </c>
      <c r="J7" s="8">
        <v>1.1983128611531799</v>
      </c>
      <c r="K7" s="8">
        <v>110.132293503721</v>
      </c>
      <c r="L7" s="8">
        <v>1.4053473434521599</v>
      </c>
      <c r="M7" s="7">
        <v>14919.7133333333</v>
      </c>
      <c r="N7" s="7">
        <v>1.2458978222850201</v>
      </c>
      <c r="O7" s="7">
        <v>108.95512914981801</v>
      </c>
      <c r="P7" s="7">
        <v>1.37827716264375</v>
      </c>
      <c r="Q7" s="8">
        <v>4648.9666666666699</v>
      </c>
      <c r="R7" s="8">
        <v>3.8790190636538502</v>
      </c>
      <c r="S7" s="8">
        <v>110.349918040452</v>
      </c>
      <c r="T7" s="8">
        <v>4.30056194035385</v>
      </c>
      <c r="U7" s="7">
        <v>11715.3533333333</v>
      </c>
      <c r="V7" s="7">
        <v>1.96782761710798</v>
      </c>
      <c r="W7" s="7">
        <v>110.535921284743</v>
      </c>
      <c r="X7" s="7">
        <v>3.2828777352042899</v>
      </c>
      <c r="Y7" s="8">
        <v>181.86</v>
      </c>
      <c r="Z7" s="8">
        <v>12.7146586830773</v>
      </c>
      <c r="AA7" s="8">
        <v>89.563019202556504</v>
      </c>
      <c r="AB7" s="8">
        <v>13.3469341436137</v>
      </c>
      <c r="AC7" s="7">
        <v>3207.0833333333298</v>
      </c>
      <c r="AD7" s="7">
        <v>3.2533435955207302</v>
      </c>
      <c r="AE7" s="7">
        <v>110.83575076106</v>
      </c>
      <c r="AF7" s="7">
        <v>5.9640016710289601</v>
      </c>
      <c r="AG7" s="8">
        <v>207842.01</v>
      </c>
      <c r="AH7" s="8">
        <v>7.4880018638508905E-2</v>
      </c>
      <c r="AI7" s="8">
        <v>108.802104021056</v>
      </c>
      <c r="AJ7" s="8">
        <v>8.1510948946923401E-2</v>
      </c>
      <c r="AK7" s="7">
        <v>95649.46</v>
      </c>
      <c r="AL7" s="7">
        <v>0.21767733111801299</v>
      </c>
      <c r="AM7" s="7">
        <v>108.790510115845</v>
      </c>
      <c r="AN7" s="7">
        <v>0.24039347921610901</v>
      </c>
      <c r="AO7" s="8">
        <v>604583.94999999995</v>
      </c>
      <c r="AP7" s="8">
        <v>1.0909572588058301</v>
      </c>
      <c r="AQ7" s="8">
        <v>108.66736026343099</v>
      </c>
      <c r="AR7" s="8">
        <v>1.18907498907043</v>
      </c>
      <c r="AS7" s="7">
        <v>391043.17666666699</v>
      </c>
      <c r="AT7" s="7">
        <v>0.21452940409542501</v>
      </c>
      <c r="AU7" s="7">
        <v>108.999499178842</v>
      </c>
      <c r="AV7" s="7">
        <v>0.23384695347967799</v>
      </c>
      <c r="AW7" s="8">
        <v>112789.83333333299</v>
      </c>
      <c r="AX7" s="8">
        <v>0.212668489480906</v>
      </c>
      <c r="AY7" s="8">
        <v>109.78283721609201</v>
      </c>
      <c r="AZ7" s="8">
        <v>0.233532228111234</v>
      </c>
      <c r="BA7" s="7">
        <v>314445.90000000002</v>
      </c>
      <c r="BB7" s="7">
        <v>0.26747498816786403</v>
      </c>
      <c r="BC7" s="7">
        <v>109.70267902320801</v>
      </c>
      <c r="BD7" s="7">
        <v>0.29355339183820101</v>
      </c>
      <c r="BE7" s="8">
        <v>44163.21</v>
      </c>
      <c r="BF7" s="8">
        <v>0.31531633544770399</v>
      </c>
      <c r="BG7" s="8">
        <v>108.031648348869</v>
      </c>
      <c r="BH7" s="8">
        <v>0.346000819287062</v>
      </c>
      <c r="BI7" s="7">
        <v>47127.6266666667</v>
      </c>
      <c r="BJ7" s="7">
        <v>2.2678348349204902</v>
      </c>
      <c r="BK7" s="7">
        <v>108.891257347663</v>
      </c>
      <c r="BL7" s="7">
        <v>2.4703485524744901</v>
      </c>
      <c r="BM7" s="8">
        <v>557950.05000000005</v>
      </c>
      <c r="BN7" s="8">
        <v>0.483582306307413</v>
      </c>
      <c r="BO7" s="8">
        <v>107.43032973680199</v>
      </c>
      <c r="BP7" s="8">
        <v>0.51962111649464005</v>
      </c>
      <c r="BQ7" s="7">
        <v>65342.66</v>
      </c>
      <c r="BR7" s="7">
        <v>0.46327597633655698</v>
      </c>
      <c r="BS7" s="7">
        <v>107.833280826096</v>
      </c>
      <c r="BT7" s="7">
        <v>0.49956568456330702</v>
      </c>
      <c r="BU7" s="8">
        <v>45003.396666666697</v>
      </c>
      <c r="BV7" s="8">
        <v>2.31977866744286</v>
      </c>
      <c r="BW7" s="8">
        <v>108.05606629395901</v>
      </c>
      <c r="BX7" s="8">
        <v>2.5066615747659098</v>
      </c>
      <c r="BY7" s="7">
        <v>812288.14666666696</v>
      </c>
      <c r="BZ7" s="7">
        <v>0.30014095522384099</v>
      </c>
      <c r="CA7" s="7">
        <v>107.565382940137</v>
      </c>
      <c r="CB7" s="7">
        <v>0.32291276743897601</v>
      </c>
      <c r="CC7" s="8">
        <v>248981.463333333</v>
      </c>
      <c r="CD7" s="8">
        <v>0.63965582124369902</v>
      </c>
      <c r="CE7" s="7">
        <v>21474.89</v>
      </c>
      <c r="CF7" s="7">
        <v>0.77076124530226797</v>
      </c>
      <c r="CG7" s="8">
        <v>1085179.84333333</v>
      </c>
      <c r="CH7" s="8">
        <v>0.68788751468092602</v>
      </c>
      <c r="CI7" s="7">
        <v>113085.97333333299</v>
      </c>
      <c r="CJ7" s="7">
        <v>0.43495055345429701</v>
      </c>
      <c r="CK7" s="8">
        <v>578282.15</v>
      </c>
      <c r="CL7" s="8">
        <v>0.637365918717269</v>
      </c>
      <c r="CM7" s="7">
        <v>649463.04000000004</v>
      </c>
      <c r="CN7" s="7">
        <v>0.28731281752715498</v>
      </c>
    </row>
    <row r="8" spans="1:92" x14ac:dyDescent="0.35">
      <c r="A8" s="4"/>
      <c r="B8" s="4" t="b">
        <v>0</v>
      </c>
      <c r="C8" s="4" t="s">
        <v>28</v>
      </c>
      <c r="D8" s="5">
        <v>46212.473275463002</v>
      </c>
      <c r="E8" s="6" t="s">
        <v>90</v>
      </c>
      <c r="F8" s="7" t="s">
        <v>147</v>
      </c>
      <c r="G8" s="4" t="s">
        <v>118</v>
      </c>
      <c r="H8" s="4"/>
      <c r="I8" s="8">
        <v>50965.006666666697</v>
      </c>
      <c r="J8" s="8">
        <v>1.20400563368471</v>
      </c>
      <c r="K8" s="8">
        <v>183.79040347048701</v>
      </c>
      <c r="L8" s="8">
        <v>2.2988714593142299</v>
      </c>
      <c r="M8" s="7">
        <v>24976.946666666699</v>
      </c>
      <c r="N8" s="7">
        <v>1.76871927863184</v>
      </c>
      <c r="O8" s="7">
        <v>183.52650927798399</v>
      </c>
      <c r="P8" s="7">
        <v>3.2756079070397801</v>
      </c>
      <c r="Q8" s="8">
        <v>7912.11</v>
      </c>
      <c r="R8" s="8">
        <v>0.98969885032761296</v>
      </c>
      <c r="S8" s="8">
        <v>188.168446026174</v>
      </c>
      <c r="T8" s="8">
        <v>1.86742102074431</v>
      </c>
      <c r="U8" s="7">
        <v>16613.4666666667</v>
      </c>
      <c r="V8" s="7">
        <v>2.1066777528672</v>
      </c>
      <c r="W8" s="7">
        <v>180.285420771204</v>
      </c>
      <c r="X8" s="7">
        <v>4.9839151421273398</v>
      </c>
      <c r="Y8" s="8">
        <v>328.683333333333</v>
      </c>
      <c r="Z8" s="8">
        <v>15.4044524409352</v>
      </c>
      <c r="AA8" s="8">
        <v>174.31204295849099</v>
      </c>
      <c r="AB8" s="8">
        <v>29.225609217362901</v>
      </c>
      <c r="AC8" s="7">
        <v>4301.8333333333303</v>
      </c>
      <c r="AD8" s="7">
        <v>1.6144714247085401</v>
      </c>
      <c r="AE8" s="7">
        <v>173.41243287144101</v>
      </c>
      <c r="AF8" s="7">
        <v>3.9699178671192499</v>
      </c>
      <c r="AG8" s="8">
        <v>355949.626666667</v>
      </c>
      <c r="AH8" s="8">
        <v>0.32320023648412399</v>
      </c>
      <c r="AI8" s="8">
        <v>186.372152912133</v>
      </c>
      <c r="AJ8" s="8">
        <v>0.60252751398940296</v>
      </c>
      <c r="AK8" s="7">
        <v>163331.36333333299</v>
      </c>
      <c r="AL8" s="7">
        <v>0.94902192885878101</v>
      </c>
      <c r="AM8" s="7">
        <v>186.93520860182201</v>
      </c>
      <c r="AN8" s="7">
        <v>1.7896693127380201</v>
      </c>
      <c r="AO8" s="8">
        <v>1049075.87666667</v>
      </c>
      <c r="AP8" s="8">
        <v>0.80117608806680796</v>
      </c>
      <c r="AQ8" s="8">
        <v>188.79987490785601</v>
      </c>
      <c r="AR8" s="8">
        <v>1.5152342336538001</v>
      </c>
      <c r="AS8" s="7">
        <v>673355.59333333303</v>
      </c>
      <c r="AT8" s="7">
        <v>0.82965779344919899</v>
      </c>
      <c r="AU8" s="7">
        <v>187.695045995117</v>
      </c>
      <c r="AV8" s="7">
        <v>1.5572690304697301</v>
      </c>
      <c r="AW8" s="8">
        <v>192713.66666666701</v>
      </c>
      <c r="AX8" s="8">
        <v>0.22303829924219201</v>
      </c>
      <c r="AY8" s="8">
        <v>187.595455165462</v>
      </c>
      <c r="AZ8" s="8">
        <v>0.41847130269374899</v>
      </c>
      <c r="BA8" s="7">
        <v>538436.41</v>
      </c>
      <c r="BB8" s="7">
        <v>0.56191398987447005</v>
      </c>
      <c r="BC8" s="7">
        <v>187.88122844152801</v>
      </c>
      <c r="BD8" s="7">
        <v>1.0559959537021599</v>
      </c>
      <c r="BE8" s="8">
        <v>75167.156666666706</v>
      </c>
      <c r="BF8" s="8">
        <v>0.77784311272315099</v>
      </c>
      <c r="BG8" s="8">
        <v>185.066456464617</v>
      </c>
      <c r="BH8" s="8">
        <v>1.45274756861132</v>
      </c>
      <c r="BI8" s="7">
        <v>80750.253333333298</v>
      </c>
      <c r="BJ8" s="7">
        <v>0.77516246240842301</v>
      </c>
      <c r="BK8" s="7">
        <v>186.605904796098</v>
      </c>
      <c r="BL8" s="7">
        <v>1.44679790071889</v>
      </c>
      <c r="BM8" s="8">
        <v>986581.21333333303</v>
      </c>
      <c r="BN8" s="8">
        <v>0.29727838037854398</v>
      </c>
      <c r="BO8" s="8">
        <v>189.977998281162</v>
      </c>
      <c r="BP8" s="8">
        <v>0.56482932468332903</v>
      </c>
      <c r="BQ8" s="7">
        <v>114315.43</v>
      </c>
      <c r="BR8" s="7">
        <v>0.70051730555062997</v>
      </c>
      <c r="BS8" s="7">
        <v>188.651760824337</v>
      </c>
      <c r="BT8" s="7">
        <v>1.32153823181</v>
      </c>
      <c r="BU8" s="8">
        <v>78595.570000000007</v>
      </c>
      <c r="BV8" s="8">
        <v>0.82172213322287202</v>
      </c>
      <c r="BW8" s="8">
        <v>188.713047266985</v>
      </c>
      <c r="BX8" s="8">
        <v>1.55069687767263</v>
      </c>
      <c r="BY8" s="7">
        <v>1436001.7566666701</v>
      </c>
      <c r="BZ8" s="7">
        <v>0.41875775036058799</v>
      </c>
      <c r="CA8" s="7">
        <v>190.175846901217</v>
      </c>
      <c r="CB8" s="7">
        <v>0.79646678586353603</v>
      </c>
      <c r="CC8" s="8">
        <v>243776.023333333</v>
      </c>
      <c r="CD8" s="8">
        <v>0.81315937951313999</v>
      </c>
      <c r="CE8" s="7">
        <v>20216.863333333298</v>
      </c>
      <c r="CF8" s="7">
        <v>3.3382403720711502</v>
      </c>
      <c r="CG8" s="8">
        <v>1086212.7633333299</v>
      </c>
      <c r="CH8" s="8">
        <v>0.42389485753554601</v>
      </c>
      <c r="CI8" s="7">
        <v>110911.30333333299</v>
      </c>
      <c r="CJ8" s="7">
        <v>0.66944425201172297</v>
      </c>
      <c r="CK8" s="8">
        <v>568295.52</v>
      </c>
      <c r="CL8" s="8">
        <v>0.96813224745714599</v>
      </c>
      <c r="CM8" s="7">
        <v>638337.64</v>
      </c>
      <c r="CN8" s="7">
        <v>1.1016622190672001</v>
      </c>
    </row>
    <row r="9" spans="1:92" x14ac:dyDescent="0.35">
      <c r="A9" s="4"/>
      <c r="B9" s="4" t="b">
        <v>0</v>
      </c>
      <c r="C9" s="4" t="s">
        <v>70</v>
      </c>
      <c r="D9" s="5">
        <v>46212.476481481499</v>
      </c>
      <c r="E9" s="6" t="s">
        <v>90</v>
      </c>
      <c r="F9" s="7" t="s">
        <v>141</v>
      </c>
      <c r="G9" s="4" t="s">
        <v>82</v>
      </c>
      <c r="H9" s="4"/>
      <c r="I9" s="8">
        <v>136475.62</v>
      </c>
      <c r="J9" s="8">
        <v>0.21161332842274899</v>
      </c>
      <c r="K9" s="8">
        <v>504.14732051212297</v>
      </c>
      <c r="L9" s="8">
        <v>1.0819624241083501</v>
      </c>
      <c r="M9" s="7">
        <v>68281.95</v>
      </c>
      <c r="N9" s="7">
        <v>2.0024964709817201</v>
      </c>
      <c r="O9" s="7">
        <v>504.620169730143</v>
      </c>
      <c r="P9" s="7">
        <v>10.1384445299501</v>
      </c>
      <c r="Q9" s="8">
        <v>21097.113333333298</v>
      </c>
      <c r="R9" s="8">
        <v>1.4862269299388899</v>
      </c>
      <c r="S9" s="8">
        <v>502.60071150644001</v>
      </c>
      <c r="T9" s="8">
        <v>7.4774759193870102</v>
      </c>
      <c r="U9" s="7">
        <v>39440.413333333301</v>
      </c>
      <c r="V9" s="7">
        <v>0.80959635015076803</v>
      </c>
      <c r="W9" s="7">
        <v>505.342845222552</v>
      </c>
      <c r="X9" s="7">
        <v>4.5469718456541504</v>
      </c>
      <c r="Y9" s="8">
        <v>915.99666666666701</v>
      </c>
      <c r="Z9" s="8">
        <v>2.89168635563238</v>
      </c>
      <c r="AA9" s="8">
        <v>513.31968233581904</v>
      </c>
      <c r="AB9" s="8">
        <v>15.289197951396901</v>
      </c>
      <c r="AC9" s="7">
        <v>10170.91</v>
      </c>
      <c r="AD9" s="7">
        <v>2.3516811412876799</v>
      </c>
      <c r="AE9" s="7">
        <v>508.892994507845</v>
      </c>
      <c r="AF9" s="7">
        <v>13.672118899703101</v>
      </c>
      <c r="AG9" s="8">
        <v>961498.80666666699</v>
      </c>
      <c r="AH9" s="8">
        <v>0.13413513002698399</v>
      </c>
      <c r="AI9" s="8">
        <v>503.523158077983</v>
      </c>
      <c r="AJ9" s="8">
        <v>0.67547294075324305</v>
      </c>
      <c r="AK9" s="7">
        <v>437364.813333333</v>
      </c>
      <c r="AL9" s="7">
        <v>0.27714159521179799</v>
      </c>
      <c r="AM9" s="7">
        <v>503.330881162286</v>
      </c>
      <c r="AN9" s="7">
        <v>1.3994987322255601</v>
      </c>
      <c r="AO9" s="8">
        <v>2789559.9033333301</v>
      </c>
      <c r="AP9" s="8">
        <v>0.44759893165992698</v>
      </c>
      <c r="AQ9" s="8">
        <v>502.57241696764902</v>
      </c>
      <c r="AR9" s="8">
        <v>2.25096958842252</v>
      </c>
      <c r="AS9" s="7">
        <v>1804242.9433333301</v>
      </c>
      <c r="AT9" s="7">
        <v>0.49868645790819499</v>
      </c>
      <c r="AU9" s="7">
        <v>502.93374306219403</v>
      </c>
      <c r="AV9" s="7">
        <v>2.5080879866121801</v>
      </c>
      <c r="AW9" s="8">
        <v>516548.46666666702</v>
      </c>
      <c r="AX9" s="8">
        <v>0.847996299166066</v>
      </c>
      <c r="AY9" s="8">
        <v>502.87604820230001</v>
      </c>
      <c r="AZ9" s="8">
        <v>4.2646044447390299</v>
      </c>
      <c r="BA9" s="7">
        <v>1440418.06333333</v>
      </c>
      <c r="BB9" s="7">
        <v>0.75005364895084203</v>
      </c>
      <c r="BC9" s="7">
        <v>502.69642869058498</v>
      </c>
      <c r="BD9" s="7">
        <v>3.7708466960434399</v>
      </c>
      <c r="BE9" s="8">
        <v>203596.85666666701</v>
      </c>
      <c r="BF9" s="8">
        <v>0.63472284501332898</v>
      </c>
      <c r="BG9" s="8">
        <v>504.17283999158798</v>
      </c>
      <c r="BH9" s="8">
        <v>3.2108884830265501</v>
      </c>
      <c r="BI9" s="7">
        <v>217821.17666666699</v>
      </c>
      <c r="BJ9" s="7">
        <v>0.26014686022304501</v>
      </c>
      <c r="BK9" s="7">
        <v>503.42881657777298</v>
      </c>
      <c r="BL9" s="7">
        <v>1.3097545963841799</v>
      </c>
      <c r="BM9" s="8">
        <v>2609664.65</v>
      </c>
      <c r="BN9" s="8">
        <v>0.180824388087302</v>
      </c>
      <c r="BO9" s="8">
        <v>502.558522076646</v>
      </c>
      <c r="BP9" s="8">
        <v>0.908788401275063</v>
      </c>
      <c r="BQ9" s="7">
        <v>304714.52333333303</v>
      </c>
      <c r="BR9" s="7">
        <v>0.38291449965657598</v>
      </c>
      <c r="BS9" s="7">
        <v>502.86239902681399</v>
      </c>
      <c r="BT9" s="7">
        <v>1.92553303919041</v>
      </c>
      <c r="BU9" s="8">
        <v>209417.69333333301</v>
      </c>
      <c r="BV9" s="8">
        <v>0.80352158011652697</v>
      </c>
      <c r="BW9" s="8">
        <v>502.82542719082301</v>
      </c>
      <c r="BX9" s="8">
        <v>4.0403108178060103</v>
      </c>
      <c r="BY9" s="7">
        <v>3792569.1033333298</v>
      </c>
      <c r="BZ9" s="7">
        <v>0.54310938171672896</v>
      </c>
      <c r="CA9" s="7">
        <v>502.30166673648398</v>
      </c>
      <c r="CB9" s="7">
        <v>2.72816509422353</v>
      </c>
      <c r="CC9" s="8">
        <v>241140.2</v>
      </c>
      <c r="CD9" s="8">
        <v>0.83617645554015196</v>
      </c>
      <c r="CE9" s="7">
        <v>20901.766666666699</v>
      </c>
      <c r="CF9" s="7">
        <v>1.45935301073315</v>
      </c>
      <c r="CG9" s="8">
        <v>1060674.1533333301</v>
      </c>
      <c r="CH9" s="8">
        <v>1.12939422496801</v>
      </c>
      <c r="CI9" s="7">
        <v>111660.11</v>
      </c>
      <c r="CJ9" s="7">
        <v>0.86788491325579697</v>
      </c>
      <c r="CK9" s="8">
        <v>538768.37333333294</v>
      </c>
      <c r="CL9" s="8">
        <v>0.61958654992985596</v>
      </c>
      <c r="CM9" s="7">
        <v>609745.85</v>
      </c>
      <c r="CN9" s="7">
        <v>0.97609675171537102</v>
      </c>
    </row>
    <row r="10" spans="1:92" x14ac:dyDescent="0.35">
      <c r="A10" s="4"/>
      <c r="B10" s="4" t="b">
        <v>0</v>
      </c>
      <c r="C10" s="4" t="s">
        <v>104</v>
      </c>
      <c r="D10" s="5">
        <v>46212.479583333297</v>
      </c>
      <c r="E10" s="6" t="s">
        <v>30</v>
      </c>
      <c r="F10" s="7"/>
      <c r="G10" s="4" t="s">
        <v>55</v>
      </c>
      <c r="H10" s="4"/>
      <c r="I10" s="8">
        <v>6328.0133333333297</v>
      </c>
      <c r="J10" s="8">
        <v>2.07510162979339</v>
      </c>
      <c r="K10" s="8">
        <v>16.562395006414199</v>
      </c>
      <c r="L10" s="8">
        <v>0.491949859832648</v>
      </c>
      <c r="M10" s="7">
        <v>173.52</v>
      </c>
      <c r="N10" s="7">
        <v>18.768516098161498</v>
      </c>
      <c r="O10" s="7" t="s">
        <v>34</v>
      </c>
      <c r="P10" s="7">
        <v>0.24147553167035599</v>
      </c>
      <c r="Q10" s="8">
        <v>61.73</v>
      </c>
      <c r="R10" s="8">
        <v>4.6857684248176801</v>
      </c>
      <c r="S10" s="8">
        <v>0.95478320968278896</v>
      </c>
      <c r="T10" s="8">
        <v>6.8980122198111199E-2</v>
      </c>
      <c r="U10" s="7">
        <v>5151.3333333333303</v>
      </c>
      <c r="V10" s="7">
        <v>2.3883801349321798</v>
      </c>
      <c r="W10" s="7">
        <v>17.063786513303</v>
      </c>
      <c r="X10" s="7">
        <v>1.7520051133619601</v>
      </c>
      <c r="Y10" s="8">
        <v>3.33666666666667</v>
      </c>
      <c r="Z10" s="8">
        <v>173.20508075688801</v>
      </c>
      <c r="AA10" s="8" t="s">
        <v>34</v>
      </c>
      <c r="AB10" s="8">
        <v>3.3359003939468699</v>
      </c>
      <c r="AC10" s="7">
        <v>1166.2733333333299</v>
      </c>
      <c r="AD10" s="7">
        <v>6.9074956272115999</v>
      </c>
      <c r="AE10" s="7" t="s">
        <v>34</v>
      </c>
      <c r="AF10" s="7">
        <v>4.6048823942256298</v>
      </c>
      <c r="AG10" s="8">
        <v>4907.6633333333302</v>
      </c>
      <c r="AH10" s="8">
        <v>3.5550917372434001</v>
      </c>
      <c r="AI10" s="8">
        <v>2.5170422065743798</v>
      </c>
      <c r="AJ10" s="8">
        <v>9.1378125773253896E-2</v>
      </c>
      <c r="AK10" s="7">
        <v>715.77666666666698</v>
      </c>
      <c r="AL10" s="7">
        <v>4.5855458648538301</v>
      </c>
      <c r="AM10" s="7" t="s">
        <v>34</v>
      </c>
      <c r="AN10" s="7">
        <v>3.7896188768103398E-2</v>
      </c>
      <c r="AO10" s="8">
        <v>54079.85</v>
      </c>
      <c r="AP10" s="8">
        <v>1.52849862078937</v>
      </c>
      <c r="AQ10" s="8">
        <v>9.4230878513746905</v>
      </c>
      <c r="AR10" s="8">
        <v>0.14902029673587699</v>
      </c>
      <c r="AS10" s="7">
        <v>922.66666666666697</v>
      </c>
      <c r="AT10" s="7">
        <v>3.1781552726135902</v>
      </c>
      <c r="AU10" s="7">
        <v>0.25207948974292499</v>
      </c>
      <c r="AV10" s="7">
        <v>8.1741032689429203E-3</v>
      </c>
      <c r="AW10" s="8">
        <v>1636.8133333333301</v>
      </c>
      <c r="AX10" s="8">
        <v>9.25600767292336</v>
      </c>
      <c r="AY10" s="8">
        <v>1.56596224331079</v>
      </c>
      <c r="AZ10" s="8">
        <v>0.147501549183296</v>
      </c>
      <c r="BA10" s="7">
        <v>1116.22</v>
      </c>
      <c r="BB10" s="7">
        <v>6.7714049827493197</v>
      </c>
      <c r="BC10" s="7">
        <v>0.34242142967646699</v>
      </c>
      <c r="BD10" s="7">
        <v>2.6380715959093699E-2</v>
      </c>
      <c r="BE10" s="8">
        <v>977.73333333333301</v>
      </c>
      <c r="BF10" s="8">
        <v>10.936586668309999</v>
      </c>
      <c r="BG10" s="8">
        <v>0.72966695369077605</v>
      </c>
      <c r="BH10" s="8">
        <v>0.26568818653200099</v>
      </c>
      <c r="BI10" s="7">
        <v>80.0833333333333</v>
      </c>
      <c r="BJ10" s="7">
        <v>31.2486994795008</v>
      </c>
      <c r="BK10" s="7">
        <v>0.14653375086517101</v>
      </c>
      <c r="BL10" s="7">
        <v>5.7842270463201798E-2</v>
      </c>
      <c r="BM10" s="8">
        <v>6488.6233333333303</v>
      </c>
      <c r="BN10" s="8">
        <v>2.5461839884592901</v>
      </c>
      <c r="BO10" s="8">
        <v>1.2274705945255</v>
      </c>
      <c r="BP10" s="8">
        <v>3.1817306784196399E-2</v>
      </c>
      <c r="BQ10" s="7">
        <v>136.81</v>
      </c>
      <c r="BR10" s="7">
        <v>18.0450182687111</v>
      </c>
      <c r="BS10" s="7">
        <v>0.225773960683851</v>
      </c>
      <c r="BT10" s="7">
        <v>4.0740952451393302E-2</v>
      </c>
      <c r="BU10" s="8">
        <v>108.446666666667</v>
      </c>
      <c r="BV10" s="8">
        <v>21.811427183204898</v>
      </c>
      <c r="BW10" s="8">
        <v>0.26038746118405398</v>
      </c>
      <c r="BX10" s="8">
        <v>5.6794221490355797E-2</v>
      </c>
      <c r="BY10" s="7">
        <v>1957.21</v>
      </c>
      <c r="BZ10" s="7">
        <v>8.2448146776678506</v>
      </c>
      <c r="CA10" s="7">
        <v>0.237574845569271</v>
      </c>
      <c r="CB10" s="7">
        <v>2.1373131840655198E-2</v>
      </c>
      <c r="CC10" s="8">
        <v>257309.316666667</v>
      </c>
      <c r="CD10" s="8">
        <v>0.85356122536734402</v>
      </c>
      <c r="CE10" s="7">
        <v>21479.94</v>
      </c>
      <c r="CF10" s="7">
        <v>6.9285069589224797</v>
      </c>
      <c r="CG10" s="8">
        <v>1104989.56</v>
      </c>
      <c r="CH10" s="8">
        <v>0.286790585024226</v>
      </c>
      <c r="CI10" s="7">
        <v>107356.55333333299</v>
      </c>
      <c r="CJ10" s="7">
        <v>7.4118331207116599</v>
      </c>
      <c r="CK10" s="8">
        <v>575217.68000000005</v>
      </c>
      <c r="CL10" s="8">
        <v>0.151151033257235</v>
      </c>
      <c r="CM10" s="7">
        <v>627838.26333333296</v>
      </c>
      <c r="CN10" s="7">
        <v>6.5366431001630101</v>
      </c>
    </row>
    <row r="11" spans="1:92" x14ac:dyDescent="0.35">
      <c r="A11" s="4"/>
      <c r="B11" s="4" t="b">
        <v>0</v>
      </c>
      <c r="C11" s="4" t="s">
        <v>45</v>
      </c>
      <c r="D11" s="5">
        <v>46212.482696759304</v>
      </c>
      <c r="E11" s="6" t="s">
        <v>30</v>
      </c>
      <c r="F11" s="7"/>
      <c r="G11" s="4" t="s">
        <v>92</v>
      </c>
      <c r="H11" t="s">
        <v>154</v>
      </c>
      <c r="I11" s="8">
        <v>4886196.5433333302</v>
      </c>
      <c r="J11" s="8">
        <v>0.76252892860694599</v>
      </c>
      <c r="K11" s="9">
        <v>18298.499302011402</v>
      </c>
      <c r="L11" s="8">
        <v>139.58583238623001</v>
      </c>
      <c r="M11" s="7">
        <v>196411.14666666699</v>
      </c>
      <c r="N11" s="7">
        <v>1.70782563917555</v>
      </c>
      <c r="O11" s="7">
        <v>1454.6598788098199</v>
      </c>
      <c r="P11" s="7">
        <v>24.871576552232501</v>
      </c>
      <c r="Q11" s="8">
        <v>172130.463333333</v>
      </c>
      <c r="R11" s="8">
        <v>0.44956473274446401</v>
      </c>
      <c r="S11" s="8">
        <v>4104.4017276286004</v>
      </c>
      <c r="T11" s="8">
        <v>18.454268420181201</v>
      </c>
      <c r="U11" s="7">
        <v>22422.113333333298</v>
      </c>
      <c r="V11" s="7">
        <v>1.57395059746149</v>
      </c>
      <c r="W11" s="7">
        <v>263.00098289111497</v>
      </c>
      <c r="X11" s="7">
        <v>5.0255072748499501</v>
      </c>
      <c r="Y11" s="8">
        <v>1298.0899999999999</v>
      </c>
      <c r="Z11" s="8">
        <v>10.936420575656999</v>
      </c>
      <c r="AA11" s="8">
        <v>733.87070953620298</v>
      </c>
      <c r="AB11" s="8">
        <v>81.944466500011103</v>
      </c>
      <c r="AC11" s="7">
        <v>24198.6</v>
      </c>
      <c r="AD11" s="7">
        <v>2.2707006550134099</v>
      </c>
      <c r="AE11" s="7">
        <v>1310.7256484224099</v>
      </c>
      <c r="AF11" s="7">
        <v>31.408536797368001</v>
      </c>
      <c r="AG11" s="8">
        <v>187271.18</v>
      </c>
      <c r="AH11" s="8">
        <v>0.66694759023461303</v>
      </c>
      <c r="AI11" s="8">
        <v>98.028314497311499</v>
      </c>
      <c r="AJ11" s="8">
        <v>0.65415298355832896</v>
      </c>
      <c r="AK11" s="7">
        <v>18584.726666666698</v>
      </c>
      <c r="AL11" s="7">
        <v>3.1312986795058699</v>
      </c>
      <c r="AM11" s="7">
        <v>19.812510774184702</v>
      </c>
      <c r="AN11" s="7">
        <v>0.67190462338831802</v>
      </c>
      <c r="AO11" s="8">
        <v>11151013.9533333</v>
      </c>
      <c r="AP11" s="8">
        <v>0.294113717947867</v>
      </c>
      <c r="AQ11" s="8">
        <v>2009.96613755772</v>
      </c>
      <c r="AR11" s="8">
        <v>5.9125460293943402</v>
      </c>
      <c r="AS11" s="7">
        <v>5219.7866666666696</v>
      </c>
      <c r="AT11" s="7">
        <v>0.73321285733087005</v>
      </c>
      <c r="AU11" s="7">
        <v>1.4499163122530301</v>
      </c>
      <c r="AV11" s="7">
        <v>1.0668491201469101E-2</v>
      </c>
      <c r="AW11" s="8">
        <v>40488.533333333296</v>
      </c>
      <c r="AX11" s="8">
        <v>1.52581937310171</v>
      </c>
      <c r="AY11" s="8">
        <v>39.3914007758625</v>
      </c>
      <c r="AZ11" s="8">
        <v>0.60146296575637204</v>
      </c>
      <c r="BA11" s="7">
        <v>6466418.3766666697</v>
      </c>
      <c r="BB11" s="7">
        <v>1.36740455231693</v>
      </c>
      <c r="BC11" s="7">
        <v>2256.9020594221001</v>
      </c>
      <c r="BD11" s="7">
        <v>30.861626486868701</v>
      </c>
      <c r="BE11" s="8">
        <v>36449.03</v>
      </c>
      <c r="BF11" s="8">
        <v>2.7847930978483499</v>
      </c>
      <c r="BG11" s="8">
        <v>88.8643990157627</v>
      </c>
      <c r="BH11" s="8">
        <v>2.5220223619819002</v>
      </c>
      <c r="BI11" s="7">
        <v>423.78666666666697</v>
      </c>
      <c r="BJ11" s="7">
        <v>10.045556832357899</v>
      </c>
      <c r="BK11" s="7">
        <v>0.94096256339257001</v>
      </c>
      <c r="BL11" s="7">
        <v>9.8399421789154506E-2</v>
      </c>
      <c r="BM11" s="8">
        <v>4645580.8866666704</v>
      </c>
      <c r="BN11" s="8">
        <v>1.2152153376549999</v>
      </c>
      <c r="BO11" s="8">
        <v>894.64419634607805</v>
      </c>
      <c r="BP11" s="8">
        <v>10.8721225028399</v>
      </c>
      <c r="BQ11" s="7">
        <v>98.44</v>
      </c>
      <c r="BR11" s="7">
        <v>22.929075907803298</v>
      </c>
      <c r="BS11" s="7">
        <v>0.16245295438724</v>
      </c>
      <c r="BT11" s="7">
        <v>3.7248961225919301E-2</v>
      </c>
      <c r="BU11" s="8">
        <v>12933.03</v>
      </c>
      <c r="BV11" s="8">
        <v>1.5050810510103201</v>
      </c>
      <c r="BW11" s="8">
        <v>31.053041560680001</v>
      </c>
      <c r="BX11" s="8">
        <v>0.46737344429152899</v>
      </c>
      <c r="BY11" s="7">
        <v>19974449.370000001</v>
      </c>
      <c r="BZ11" s="7">
        <v>0.73932074295204198</v>
      </c>
      <c r="CA11" s="7">
        <v>2645.5812347291999</v>
      </c>
      <c r="CB11" s="7">
        <v>19.559490949913599</v>
      </c>
      <c r="CC11" s="8">
        <v>244381.26666666701</v>
      </c>
      <c r="CD11" s="8">
        <v>1.19383514580453</v>
      </c>
      <c r="CE11" s="7">
        <v>20881.830000000002</v>
      </c>
      <c r="CF11" s="7">
        <v>0.93704604371492095</v>
      </c>
      <c r="CG11" s="8">
        <v>1051312.86333333</v>
      </c>
      <c r="CH11" s="8">
        <v>0.298441556679785</v>
      </c>
      <c r="CI11" s="7">
        <v>105643.933333333</v>
      </c>
      <c r="CJ11" s="7">
        <v>0.31247601921934298</v>
      </c>
      <c r="CK11" s="8">
        <v>728488.41333333298</v>
      </c>
      <c r="CL11" s="8">
        <v>1.44515596695114</v>
      </c>
      <c r="CM11" s="7">
        <v>765101.89666666696</v>
      </c>
      <c r="CN11" s="7">
        <v>1.7778828444355901</v>
      </c>
    </row>
    <row r="12" spans="1:92" x14ac:dyDescent="0.35">
      <c r="A12" s="4"/>
      <c r="B12" s="4" t="b">
        <v>0</v>
      </c>
      <c r="C12" s="4" t="s">
        <v>48</v>
      </c>
      <c r="D12" s="5">
        <v>46212.485694444404</v>
      </c>
      <c r="E12" s="6" t="s">
        <v>30</v>
      </c>
      <c r="F12" s="7"/>
      <c r="G12" s="4" t="s">
        <v>76</v>
      </c>
      <c r="H12" t="s">
        <v>155</v>
      </c>
      <c r="I12" s="8">
        <v>5125484.8899999997</v>
      </c>
      <c r="J12" s="8">
        <v>0.443433726557387</v>
      </c>
      <c r="K12" s="8">
        <v>19194.969038736399</v>
      </c>
      <c r="L12" s="8">
        <v>85.148649287360698</v>
      </c>
      <c r="M12" s="7">
        <v>193264.56</v>
      </c>
      <c r="N12" s="7">
        <v>0.125756934030747</v>
      </c>
      <c r="O12" s="7">
        <v>1431.32887885693</v>
      </c>
      <c r="P12" s="7">
        <v>1.8020955645324399</v>
      </c>
      <c r="Q12" s="8">
        <v>186072.1</v>
      </c>
      <c r="R12" s="8">
        <v>0.172471650194332</v>
      </c>
      <c r="S12" s="8">
        <v>4436.8779728579202</v>
      </c>
      <c r="T12" s="8">
        <v>7.6532489161917097</v>
      </c>
      <c r="U12" s="7">
        <v>21127.25</v>
      </c>
      <c r="V12" s="7">
        <v>1.66294808797111</v>
      </c>
      <c r="W12" s="7">
        <v>244.56203236934201</v>
      </c>
      <c r="X12" s="7">
        <v>5.0030394722293901</v>
      </c>
      <c r="Y12" s="8">
        <v>1273.07</v>
      </c>
      <c r="Z12" s="8">
        <v>10.676537028585001</v>
      </c>
      <c r="AA12" s="8">
        <v>719.42872319633796</v>
      </c>
      <c r="AB12" s="8">
        <v>78.455305746302798</v>
      </c>
      <c r="AC12" s="7">
        <v>23454.903333333299</v>
      </c>
      <c r="AD12" s="7">
        <v>1.9145526965224899</v>
      </c>
      <c r="AE12" s="7">
        <v>1268.2154224378901</v>
      </c>
      <c r="AF12" s="7">
        <v>25.6683853515196</v>
      </c>
      <c r="AG12" s="8">
        <v>178789.79666666701</v>
      </c>
      <c r="AH12" s="8">
        <v>0.77332557102288102</v>
      </c>
      <c r="AI12" s="8">
        <v>93.586265299319706</v>
      </c>
      <c r="AJ12" s="8">
        <v>0.72413872531925605</v>
      </c>
      <c r="AK12" s="7">
        <v>18324.0366666667</v>
      </c>
      <c r="AL12" s="7">
        <v>2.2547932580913601</v>
      </c>
      <c r="AM12" s="7">
        <v>19.511521285931401</v>
      </c>
      <c r="AN12" s="7">
        <v>0.47704004382624099</v>
      </c>
      <c r="AO12" s="8">
        <v>11867624.3966667</v>
      </c>
      <c r="AP12" s="8">
        <v>0.70819347974333902</v>
      </c>
      <c r="AQ12" s="8">
        <v>2139.1558784724498</v>
      </c>
      <c r="AR12" s="8">
        <v>15.1516737690543</v>
      </c>
      <c r="AS12" s="7">
        <v>2003.91333333333</v>
      </c>
      <c r="AT12" s="7">
        <v>3.7412816095264101</v>
      </c>
      <c r="AU12" s="7">
        <v>0.55348067741039697</v>
      </c>
      <c r="AV12" s="7">
        <v>2.0898711551347999E-2</v>
      </c>
      <c r="AW12" s="8">
        <v>14302.07</v>
      </c>
      <c r="AX12" s="8">
        <v>1.54267661745722</v>
      </c>
      <c r="AY12" s="8">
        <v>13.896661824796301</v>
      </c>
      <c r="AZ12" s="8">
        <v>0.21480654893753101</v>
      </c>
      <c r="BA12" s="7">
        <v>7417326.5966666704</v>
      </c>
      <c r="BB12" s="7">
        <v>0.84720184216621697</v>
      </c>
      <c r="BC12" s="7">
        <v>2588.7939117579699</v>
      </c>
      <c r="BD12" s="7">
        <v>21.9327093231839</v>
      </c>
      <c r="BE12" s="8">
        <v>26600.643333333301</v>
      </c>
      <c r="BF12" s="8">
        <v>3.4444395004581101</v>
      </c>
      <c r="BG12" s="8">
        <v>64.394334437435106</v>
      </c>
      <c r="BH12" s="8">
        <v>2.2765685144046</v>
      </c>
      <c r="BI12" s="7">
        <v>368.72666666666697</v>
      </c>
      <c r="BJ12" s="7">
        <v>9.5338818335221998</v>
      </c>
      <c r="BK12" s="7">
        <v>0.81369801232306604</v>
      </c>
      <c r="BL12" s="7">
        <v>8.1254150643274098E-2</v>
      </c>
      <c r="BM12" s="8">
        <v>5450548.6500000004</v>
      </c>
      <c r="BN12" s="8">
        <v>0.67981586142820805</v>
      </c>
      <c r="BO12" s="8">
        <v>1049.66841716985</v>
      </c>
      <c r="BP12" s="8">
        <v>7.1359628827037698</v>
      </c>
      <c r="BQ12" s="7">
        <v>56.726666666666702</v>
      </c>
      <c r="BR12" s="7">
        <v>45.277320945315999</v>
      </c>
      <c r="BS12" s="7">
        <v>9.36145326344998E-2</v>
      </c>
      <c r="BT12" s="7">
        <v>4.2386152392380097E-2</v>
      </c>
      <c r="BU12" s="8">
        <v>13662.7066666667</v>
      </c>
      <c r="BV12" s="8">
        <v>0.97344118753847397</v>
      </c>
      <c r="BW12" s="8">
        <v>32.805042434091597</v>
      </c>
      <c r="BX12" s="8">
        <v>0.31933779464259598</v>
      </c>
      <c r="BY12" s="7">
        <v>22235791.8866667</v>
      </c>
      <c r="BZ12" s="7">
        <v>0.63575874114598196</v>
      </c>
      <c r="CA12" s="7">
        <v>2945.0945874629201</v>
      </c>
      <c r="CB12" s="7">
        <v>18.7238339570658</v>
      </c>
      <c r="CC12" s="8">
        <v>252516.97333333301</v>
      </c>
      <c r="CD12" s="8">
        <v>0.90163883643162501</v>
      </c>
      <c r="CE12" s="7">
        <v>21192.4866666667</v>
      </c>
      <c r="CF12" s="7">
        <v>1.47191110799556</v>
      </c>
      <c r="CG12" s="8">
        <v>1090054.7266666701</v>
      </c>
      <c r="CH12" s="8">
        <v>0.26785697575883899</v>
      </c>
      <c r="CI12" s="7">
        <v>106843.493333333</v>
      </c>
      <c r="CJ12" s="7">
        <v>0.74579496194814299</v>
      </c>
      <c r="CK12" s="8">
        <v>600565.316666667</v>
      </c>
      <c r="CL12" s="8">
        <v>0.46335791824939798</v>
      </c>
      <c r="CM12" s="7">
        <v>698923.17333333299</v>
      </c>
      <c r="CN12" s="7">
        <v>0.24539429630076601</v>
      </c>
    </row>
    <row r="13" spans="1:92" x14ac:dyDescent="0.35">
      <c r="A13" s="4"/>
      <c r="B13" s="4" t="b">
        <v>0</v>
      </c>
      <c r="C13" s="4" t="s">
        <v>116</v>
      </c>
      <c r="D13" s="5">
        <v>46212.488784722198</v>
      </c>
      <c r="E13" s="6" t="s">
        <v>30</v>
      </c>
      <c r="F13" s="7"/>
      <c r="G13" s="4" t="s">
        <v>64</v>
      </c>
      <c r="H13" t="s">
        <v>156</v>
      </c>
      <c r="I13" s="8">
        <v>6262217.3633333296</v>
      </c>
      <c r="J13" s="8">
        <v>0.47091396655196299</v>
      </c>
      <c r="K13" s="8">
        <v>23453.6229819449</v>
      </c>
      <c r="L13" s="8">
        <v>110.480032479302</v>
      </c>
      <c r="M13" s="7">
        <v>206921.92</v>
      </c>
      <c r="N13" s="7">
        <v>0.63600702103950302</v>
      </c>
      <c r="O13" s="7">
        <v>1532.5941225230699</v>
      </c>
      <c r="P13" s="7">
        <v>9.7580280957549803</v>
      </c>
      <c r="Q13" s="8">
        <v>171861.11666666699</v>
      </c>
      <c r="R13" s="8">
        <v>0.47579779710306302</v>
      </c>
      <c r="S13" s="8">
        <v>4097.9784237841905</v>
      </c>
      <c r="T13" s="8">
        <v>19.500552541938902</v>
      </c>
      <c r="U13" s="7">
        <v>17333.3766666667</v>
      </c>
      <c r="V13" s="7">
        <v>1.10408547258832</v>
      </c>
      <c r="W13" s="7">
        <v>190.53699290890401</v>
      </c>
      <c r="X13" s="7">
        <v>2.7251984672982701</v>
      </c>
      <c r="Y13" s="8">
        <v>1364.83666666667</v>
      </c>
      <c r="Z13" s="8">
        <v>3.32841676436834</v>
      </c>
      <c r="AA13" s="8">
        <v>772.39806558062901</v>
      </c>
      <c r="AB13" s="8">
        <v>26.2215286690003</v>
      </c>
      <c r="AC13" s="7">
        <v>23752.433333333302</v>
      </c>
      <c r="AD13" s="7">
        <v>2.9644561010618098</v>
      </c>
      <c r="AE13" s="7">
        <v>1285.22244708124</v>
      </c>
      <c r="AF13" s="7">
        <v>40.248593654603198</v>
      </c>
      <c r="AG13" s="8">
        <v>168259.08333333299</v>
      </c>
      <c r="AH13" s="8">
        <v>0.82371427871220904</v>
      </c>
      <c r="AI13" s="8">
        <v>88.070897713849504</v>
      </c>
      <c r="AJ13" s="8">
        <v>0.72589162328718904</v>
      </c>
      <c r="AK13" s="7">
        <v>16531.740000000002</v>
      </c>
      <c r="AL13" s="7">
        <v>1.2305799732573</v>
      </c>
      <c r="AM13" s="7">
        <v>17.442157457253298</v>
      </c>
      <c r="AN13" s="7">
        <v>0.23488504473590899</v>
      </c>
      <c r="AO13" s="8">
        <v>11148311.6666667</v>
      </c>
      <c r="AP13" s="8">
        <v>0.62667647238454105</v>
      </c>
      <c r="AQ13" s="8">
        <v>2009.4789722957701</v>
      </c>
      <c r="AR13" s="8">
        <v>12.594977207755599</v>
      </c>
      <c r="AS13" s="7">
        <v>2224.1833333333302</v>
      </c>
      <c r="AT13" s="7">
        <v>5.2800381599541497</v>
      </c>
      <c r="AU13" s="7">
        <v>0.61488168945900201</v>
      </c>
      <c r="AV13" s="7">
        <v>3.2736166512806003E-2</v>
      </c>
      <c r="AW13" s="8">
        <v>15200.66</v>
      </c>
      <c r="AX13" s="8">
        <v>2.2169330505407498</v>
      </c>
      <c r="AY13" s="8">
        <v>14.7715152627127</v>
      </c>
      <c r="AZ13" s="8">
        <v>0.328086790171434</v>
      </c>
      <c r="BA13" s="7">
        <v>6625943.4699999997</v>
      </c>
      <c r="BB13" s="7">
        <v>1.1019301370272301</v>
      </c>
      <c r="BC13" s="7">
        <v>2312.58049147988</v>
      </c>
      <c r="BD13" s="7">
        <v>25.48354114316</v>
      </c>
      <c r="BE13" s="8">
        <v>27986.3</v>
      </c>
      <c r="BF13" s="8">
        <v>3.81139447103679</v>
      </c>
      <c r="BG13" s="8">
        <v>67.837244353989007</v>
      </c>
      <c r="BH13" s="8">
        <v>2.65032668234277</v>
      </c>
      <c r="BI13" s="7">
        <v>340.36666666666702</v>
      </c>
      <c r="BJ13" s="7">
        <v>11.7652531889286</v>
      </c>
      <c r="BK13" s="7">
        <v>0.74814729186663498</v>
      </c>
      <c r="BL13" s="7">
        <v>9.2559189262987604E-2</v>
      </c>
      <c r="BM13" s="8">
        <v>4851828.1366666704</v>
      </c>
      <c r="BN13" s="8">
        <v>0.35019166076060398</v>
      </c>
      <c r="BO13" s="8">
        <v>934.36419593450296</v>
      </c>
      <c r="BP13" s="8">
        <v>3.2721430170288102</v>
      </c>
      <c r="BQ13" s="7">
        <v>55.06</v>
      </c>
      <c r="BR13" s="7">
        <v>18.180167090446702</v>
      </c>
      <c r="BS13" s="7">
        <v>9.0864076275512295E-2</v>
      </c>
      <c r="BT13" s="7">
        <v>1.6519240892079099E-2</v>
      </c>
      <c r="BU13" s="8">
        <v>12647.403333333301</v>
      </c>
      <c r="BV13" s="8">
        <v>0.78276481574577395</v>
      </c>
      <c r="BW13" s="8">
        <v>30.367233459188</v>
      </c>
      <c r="BX13" s="8">
        <v>0.23770401903421801</v>
      </c>
      <c r="BY13" s="7">
        <v>20938110.916666701</v>
      </c>
      <c r="BZ13" s="7">
        <v>0.80323356933269396</v>
      </c>
      <c r="CA13" s="7">
        <v>2773.2175828787699</v>
      </c>
      <c r="CB13" s="7">
        <v>22.275588527512799</v>
      </c>
      <c r="CC13" s="8">
        <v>248688.45</v>
      </c>
      <c r="CD13" s="8">
        <v>0.19185791896472401</v>
      </c>
      <c r="CE13" s="7">
        <v>21279.343333333301</v>
      </c>
      <c r="CF13" s="7">
        <v>1.6171794994283699</v>
      </c>
      <c r="CG13" s="8">
        <v>1084246.07</v>
      </c>
      <c r="CH13" s="8">
        <v>0.296362294693298</v>
      </c>
      <c r="CI13" s="7">
        <v>106832.00333333301</v>
      </c>
      <c r="CJ13" s="7">
        <v>1.00492730445529</v>
      </c>
      <c r="CK13" s="8">
        <v>571908.183333333</v>
      </c>
      <c r="CL13" s="8">
        <v>0.449765964054332</v>
      </c>
      <c r="CM13" s="7">
        <v>668132.48</v>
      </c>
      <c r="CN13" s="7">
        <v>0.17971218116316301</v>
      </c>
    </row>
    <row r="14" spans="1:92" x14ac:dyDescent="0.35">
      <c r="A14" s="4"/>
      <c r="B14" s="4" t="b">
        <v>0</v>
      </c>
      <c r="C14" s="4" t="s">
        <v>95</v>
      </c>
      <c r="D14" s="5">
        <v>46212.491770833301</v>
      </c>
      <c r="E14" s="6" t="s">
        <v>30</v>
      </c>
      <c r="F14" s="7"/>
      <c r="G14" s="4" t="s">
        <v>113</v>
      </c>
      <c r="H14" t="s">
        <v>157</v>
      </c>
      <c r="I14" s="8">
        <v>916224.936666667</v>
      </c>
      <c r="J14" s="8">
        <v>0.385692131224252</v>
      </c>
      <c r="K14" s="8">
        <v>3425.3997524050501</v>
      </c>
      <c r="L14" s="8">
        <v>13.2390545125053</v>
      </c>
      <c r="M14" s="7">
        <v>48680.22</v>
      </c>
      <c r="N14" s="7">
        <v>1.2402917564496001</v>
      </c>
      <c r="O14" s="7">
        <v>359.27919865463201</v>
      </c>
      <c r="P14" s="7">
        <v>4.4768242386399297</v>
      </c>
      <c r="Q14" s="8">
        <v>30606.843333333301</v>
      </c>
      <c r="R14" s="8">
        <v>1.6166367468763301</v>
      </c>
      <c r="S14" s="8">
        <v>729.386088226531</v>
      </c>
      <c r="T14" s="8">
        <v>11.799886981416799</v>
      </c>
      <c r="U14" s="7">
        <v>13712.4566666667</v>
      </c>
      <c r="V14" s="7">
        <v>1.89343691343864</v>
      </c>
      <c r="W14" s="7">
        <v>138.97482182523899</v>
      </c>
      <c r="X14" s="7">
        <v>3.6972462202149701</v>
      </c>
      <c r="Y14" s="8">
        <v>295.31333333333299</v>
      </c>
      <c r="Z14" s="8">
        <v>11.864637722176701</v>
      </c>
      <c r="AA14" s="8">
        <v>155.05028899521</v>
      </c>
      <c r="AB14" s="8">
        <v>20.224470594338399</v>
      </c>
      <c r="AC14" s="7">
        <v>5812.2533333333304</v>
      </c>
      <c r="AD14" s="7">
        <v>2.6284758047789301</v>
      </c>
      <c r="AE14" s="7">
        <v>259.74910534749603</v>
      </c>
      <c r="AF14" s="7">
        <v>8.7326508735541992</v>
      </c>
      <c r="AG14" s="8">
        <v>55010.6933333333</v>
      </c>
      <c r="AH14" s="8">
        <v>1.0118377224505299</v>
      </c>
      <c r="AI14" s="8">
        <v>28.758059205977698</v>
      </c>
      <c r="AJ14" s="8">
        <v>0.29152422993212201</v>
      </c>
      <c r="AK14" s="7">
        <v>5511.8533333333298</v>
      </c>
      <c r="AL14" s="7">
        <v>3.0385504945591801</v>
      </c>
      <c r="AM14" s="7">
        <v>4.7187309797919204</v>
      </c>
      <c r="AN14" s="7">
        <v>0.19337087709732401</v>
      </c>
      <c r="AO14" s="8">
        <v>2308743.79</v>
      </c>
      <c r="AP14" s="8">
        <v>0.129210416908315</v>
      </c>
      <c r="AQ14" s="8">
        <v>415.89141798551799</v>
      </c>
      <c r="AR14" s="8">
        <v>0.53779673639218195</v>
      </c>
      <c r="AS14" s="7">
        <v>1738.59666666667</v>
      </c>
      <c r="AT14" s="7">
        <v>1.58589691409101</v>
      </c>
      <c r="AU14" s="7">
        <v>0.47952275374082898</v>
      </c>
      <c r="AV14" s="7">
        <v>7.6858866341636099E-3</v>
      </c>
      <c r="AW14" s="8">
        <v>21916.11</v>
      </c>
      <c r="AX14" s="8">
        <v>1.15496948529267</v>
      </c>
      <c r="AY14" s="8">
        <v>21.309574354908001</v>
      </c>
      <c r="AZ14" s="8">
        <v>0.24643801574566099</v>
      </c>
      <c r="BA14" s="7">
        <v>1084551.8600000001</v>
      </c>
      <c r="BB14" s="7">
        <v>0.54614643680616004</v>
      </c>
      <c r="BC14" s="7">
        <v>378.48981134949702</v>
      </c>
      <c r="BD14" s="7">
        <v>2.0673662277718901</v>
      </c>
      <c r="BE14" s="8">
        <v>12301.54</v>
      </c>
      <c r="BF14" s="8">
        <v>7.6132777269368797</v>
      </c>
      <c r="BG14" s="8">
        <v>28.865674381556701</v>
      </c>
      <c r="BH14" s="8">
        <v>2.3270257011831599</v>
      </c>
      <c r="BI14" s="7">
        <v>83.42</v>
      </c>
      <c r="BJ14" s="7">
        <v>24.251202867902801</v>
      </c>
      <c r="BK14" s="7">
        <v>0.15424605354228499</v>
      </c>
      <c r="BL14" s="7">
        <v>4.6760022658052097E-2</v>
      </c>
      <c r="BM14" s="8">
        <v>615037.85</v>
      </c>
      <c r="BN14" s="8">
        <v>1.4260898577833301</v>
      </c>
      <c r="BO14" s="8">
        <v>118.42454853246601</v>
      </c>
      <c r="BP14" s="8">
        <v>1.68915616830344</v>
      </c>
      <c r="BQ14" s="7">
        <v>28.366666666666699</v>
      </c>
      <c r="BR14" s="7">
        <v>40.746953193335997</v>
      </c>
      <c r="BS14" s="7">
        <v>4.6812767229967897E-2</v>
      </c>
      <c r="BT14" s="7">
        <v>1.90747763517004E-2</v>
      </c>
      <c r="BU14" s="8">
        <v>2047.32</v>
      </c>
      <c r="BV14" s="8">
        <v>2.33292684830875</v>
      </c>
      <c r="BW14" s="8">
        <v>4.9157477441876596</v>
      </c>
      <c r="BX14" s="8">
        <v>0.114680798919249</v>
      </c>
      <c r="BY14" s="7">
        <v>3904207.7666666699</v>
      </c>
      <c r="BZ14" s="7">
        <v>0.87392981824062299</v>
      </c>
      <c r="CA14" s="7">
        <v>517.08813543958297</v>
      </c>
      <c r="CB14" s="7">
        <v>4.5191766635133899</v>
      </c>
      <c r="CC14" s="8">
        <v>251304.82</v>
      </c>
      <c r="CD14" s="8">
        <v>0.73447505470803398</v>
      </c>
      <c r="CE14" s="7">
        <v>20552.653333333299</v>
      </c>
      <c r="CF14" s="7">
        <v>3.0604393094176698</v>
      </c>
      <c r="CG14" s="8">
        <v>1104444.7333333299</v>
      </c>
      <c r="CH14" s="8">
        <v>0.64417569245503603</v>
      </c>
      <c r="CI14" s="7">
        <v>107412.14</v>
      </c>
      <c r="CJ14" s="7">
        <v>1.0229361435004201</v>
      </c>
      <c r="CK14" s="8">
        <v>575167.28</v>
      </c>
      <c r="CL14" s="8">
        <v>0.256896654180024</v>
      </c>
      <c r="CM14" s="7">
        <v>678838.28</v>
      </c>
      <c r="CN14" s="7">
        <v>0.20294405734975099</v>
      </c>
    </row>
    <row r="15" spans="1:92" x14ac:dyDescent="0.35">
      <c r="A15" s="4"/>
      <c r="B15" s="4" t="b">
        <v>0</v>
      </c>
      <c r="C15" s="4" t="s">
        <v>57</v>
      </c>
      <c r="D15" s="5">
        <v>46212.494895833297</v>
      </c>
      <c r="E15" s="6" t="s">
        <v>30</v>
      </c>
      <c r="F15" s="7"/>
      <c r="G15" s="4" t="s">
        <v>83</v>
      </c>
      <c r="H15" t="s">
        <v>158</v>
      </c>
      <c r="I15" s="8">
        <v>1171149.16666667</v>
      </c>
      <c r="J15" s="8">
        <v>0.71446499819402398</v>
      </c>
      <c r="K15" s="8">
        <v>4380.4477542672703</v>
      </c>
      <c r="L15" s="8">
        <v>31.347813569800099</v>
      </c>
      <c r="M15" s="7">
        <v>70551.55</v>
      </c>
      <c r="N15" s="7">
        <v>0.69426634520870201</v>
      </c>
      <c r="O15" s="7">
        <v>521.44857558783997</v>
      </c>
      <c r="P15" s="7">
        <v>3.6318368219613402</v>
      </c>
      <c r="Q15" s="8">
        <v>40843.716666666704</v>
      </c>
      <c r="R15" s="8">
        <v>1.0920236680631701</v>
      </c>
      <c r="S15" s="8">
        <v>973.512175437824</v>
      </c>
      <c r="T15" s="8">
        <v>10.636632804669199</v>
      </c>
      <c r="U15" s="7">
        <v>17988.14</v>
      </c>
      <c r="V15" s="7">
        <v>0.91725826176049396</v>
      </c>
      <c r="W15" s="7">
        <v>199.86087165039601</v>
      </c>
      <c r="X15" s="7">
        <v>2.3495795683467602</v>
      </c>
      <c r="Y15" s="8">
        <v>423.78333333333302</v>
      </c>
      <c r="Z15" s="8">
        <v>7.2174878617163403</v>
      </c>
      <c r="AA15" s="8">
        <v>229.20544427428601</v>
      </c>
      <c r="AB15" s="8">
        <v>17.655074696035999</v>
      </c>
      <c r="AC15" s="7">
        <v>8119.1033333333298</v>
      </c>
      <c r="AD15" s="7">
        <v>5.0952232676882199</v>
      </c>
      <c r="AE15" s="7">
        <v>391.61027833341302</v>
      </c>
      <c r="AF15" s="7">
        <v>23.646608801005598</v>
      </c>
      <c r="AG15" s="8">
        <v>134205.10666666701</v>
      </c>
      <c r="AH15" s="8">
        <v>0.50320234088747995</v>
      </c>
      <c r="AI15" s="8">
        <v>70.235429866749499</v>
      </c>
      <c r="AJ15" s="8">
        <v>0.353694548554637</v>
      </c>
      <c r="AK15" s="7">
        <v>12531.903333333301</v>
      </c>
      <c r="AL15" s="7">
        <v>0.61070850474379501</v>
      </c>
      <c r="AM15" s="7">
        <v>12.8239949216869</v>
      </c>
      <c r="AN15" s="7">
        <v>8.8364527747764404E-2</v>
      </c>
      <c r="AO15" s="8">
        <v>4552880.63333333</v>
      </c>
      <c r="AP15" s="8">
        <v>0.26889278967367097</v>
      </c>
      <c r="AQ15" s="8">
        <v>820.46193473499295</v>
      </c>
      <c r="AR15" s="8">
        <v>2.20704056428742</v>
      </c>
      <c r="AS15" s="7">
        <v>3692.6833333333302</v>
      </c>
      <c r="AT15" s="7">
        <v>1.76969919972356</v>
      </c>
      <c r="AU15" s="7">
        <v>1.02423106156313</v>
      </c>
      <c r="AV15" s="7">
        <v>1.8216364112288101E-2</v>
      </c>
      <c r="AW15" s="8">
        <v>69142.316666666695</v>
      </c>
      <c r="AX15" s="8">
        <v>0.97828133447225796</v>
      </c>
      <c r="AY15" s="8">
        <v>67.288284625536505</v>
      </c>
      <c r="AZ15" s="8">
        <v>0.65853887242657805</v>
      </c>
      <c r="BA15" s="7">
        <v>1860395.04333333</v>
      </c>
      <c r="BB15" s="7">
        <v>0.39484736421226302</v>
      </c>
      <c r="BC15" s="7">
        <v>649.279384751924</v>
      </c>
      <c r="BD15" s="7">
        <v>2.5638487808566901</v>
      </c>
      <c r="BE15" s="8">
        <v>21212.8766666667</v>
      </c>
      <c r="BF15" s="8">
        <v>6.1659002962248604</v>
      </c>
      <c r="BG15" s="8">
        <v>51.007471925982102</v>
      </c>
      <c r="BH15" s="8">
        <v>3.2498707476459701</v>
      </c>
      <c r="BI15" s="7">
        <v>118.46</v>
      </c>
      <c r="BJ15" s="7">
        <v>8.7958292564798395</v>
      </c>
      <c r="BK15" s="7">
        <v>0.23523678854910299</v>
      </c>
      <c r="BL15" s="7">
        <v>2.4083508828606999E-2</v>
      </c>
      <c r="BM15" s="8">
        <v>735225.79666666698</v>
      </c>
      <c r="BN15" s="8">
        <v>0.636809980755358</v>
      </c>
      <c r="BO15" s="8">
        <v>141.57087020285701</v>
      </c>
      <c r="BP15" s="8">
        <v>0.901678401492363</v>
      </c>
      <c r="BQ15" s="7">
        <v>63.4</v>
      </c>
      <c r="BR15" s="7">
        <v>16.4346046328487</v>
      </c>
      <c r="BS15" s="7">
        <v>0.10462735989588599</v>
      </c>
      <c r="BT15" s="7">
        <v>1.7195092936676499E-2</v>
      </c>
      <c r="BU15" s="8">
        <v>3083.5866666666702</v>
      </c>
      <c r="BV15" s="8">
        <v>4.1992262180441804</v>
      </c>
      <c r="BW15" s="8">
        <v>7.4038910383690997</v>
      </c>
      <c r="BX15" s="8">
        <v>0.31090613363858499</v>
      </c>
      <c r="BY15" s="7">
        <v>5160800.9866666701</v>
      </c>
      <c r="BZ15" s="7">
        <v>0.65395452728776704</v>
      </c>
      <c r="CA15" s="7">
        <v>683.52309412927298</v>
      </c>
      <c r="CB15" s="7">
        <v>4.4700718418141596</v>
      </c>
      <c r="CC15" s="8">
        <v>244157.57333333301</v>
      </c>
      <c r="CD15" s="8">
        <v>0.60635843357938102</v>
      </c>
      <c r="CE15" s="7">
        <v>20591.0333333333</v>
      </c>
      <c r="CF15" s="7">
        <v>1.3255755675212799</v>
      </c>
      <c r="CG15" s="8">
        <v>1089535.70666667</v>
      </c>
      <c r="CH15" s="8">
        <v>0.62183527074053302</v>
      </c>
      <c r="CI15" s="7">
        <v>106904.83333333299</v>
      </c>
      <c r="CJ15" s="7">
        <v>1.49215215316634</v>
      </c>
      <c r="CK15" s="8">
        <v>565608.46666666702</v>
      </c>
      <c r="CL15" s="8">
        <v>0.47995016172153399</v>
      </c>
      <c r="CM15" s="7">
        <v>672610.183333333</v>
      </c>
      <c r="CN15" s="7">
        <v>0.47047558315570298</v>
      </c>
    </row>
    <row r="16" spans="1:92" x14ac:dyDescent="0.35">
      <c r="A16" s="4"/>
      <c r="B16" s="4" t="b">
        <v>0</v>
      </c>
      <c r="C16" s="4" t="s">
        <v>146</v>
      </c>
      <c r="D16" s="5">
        <v>46212.497916666704</v>
      </c>
      <c r="E16" s="6" t="s">
        <v>30</v>
      </c>
      <c r="F16" s="7"/>
      <c r="G16" s="4" t="s">
        <v>77</v>
      </c>
      <c r="H16" t="s">
        <v>159</v>
      </c>
      <c r="I16" s="8">
        <v>510517.00333333301</v>
      </c>
      <c r="J16" s="8">
        <v>0.51081666516419599</v>
      </c>
      <c r="K16" s="8">
        <v>1905.4557632846299</v>
      </c>
      <c r="L16" s="8">
        <v>9.7698827770945194</v>
      </c>
      <c r="M16" s="7">
        <v>33519.403333333299</v>
      </c>
      <c r="N16" s="7">
        <v>1.5273537642835799</v>
      </c>
      <c r="O16" s="7">
        <v>246.866273028622</v>
      </c>
      <c r="P16" s="7">
        <v>3.7960294550864799</v>
      </c>
      <c r="Q16" s="8">
        <v>26782.096666666701</v>
      </c>
      <c r="R16" s="8">
        <v>1.9019047898315899</v>
      </c>
      <c r="S16" s="8">
        <v>638.17460129063397</v>
      </c>
      <c r="T16" s="8">
        <v>12.147312557785799</v>
      </c>
      <c r="U16" s="7">
        <v>16578.426666666699</v>
      </c>
      <c r="V16" s="7">
        <v>1.34505699331391</v>
      </c>
      <c r="W16" s="7">
        <v>179.78644855564201</v>
      </c>
      <c r="X16" s="7">
        <v>3.17538409564261</v>
      </c>
      <c r="Y16" s="8">
        <v>220.23333333333301</v>
      </c>
      <c r="Z16" s="8">
        <v>10.415305105194101</v>
      </c>
      <c r="AA16" s="8">
        <v>111.712785622025</v>
      </c>
      <c r="AB16" s="8">
        <v>13.240203898477199</v>
      </c>
      <c r="AC16" s="7">
        <v>5137.99</v>
      </c>
      <c r="AD16" s="7">
        <v>2.68361454834035</v>
      </c>
      <c r="AE16" s="7">
        <v>221.207737666578</v>
      </c>
      <c r="AF16" s="7">
        <v>7.8815379494436097</v>
      </c>
      <c r="AG16" s="8">
        <v>71121.403333333306</v>
      </c>
      <c r="AH16" s="8">
        <v>1.0011697009985101</v>
      </c>
      <c r="AI16" s="8">
        <v>37.195900489877197</v>
      </c>
      <c r="AJ16" s="8">
        <v>0.37292773799698098</v>
      </c>
      <c r="AK16" s="7">
        <v>4797.5166666666701</v>
      </c>
      <c r="AL16" s="7">
        <v>6.9491158734287604</v>
      </c>
      <c r="AM16" s="7">
        <v>3.8939665939674901</v>
      </c>
      <c r="AN16" s="7">
        <v>0.38492223789840402</v>
      </c>
      <c r="AO16" s="8">
        <v>2608290.9566666698</v>
      </c>
      <c r="AP16" s="8">
        <v>0.35936962188558103</v>
      </c>
      <c r="AQ16" s="8">
        <v>469.89345104744501</v>
      </c>
      <c r="AR16" s="8">
        <v>1.6898271853726201</v>
      </c>
      <c r="AS16" s="7">
        <v>1137.9066666666699</v>
      </c>
      <c r="AT16" s="7">
        <v>5.3217086573039296</v>
      </c>
      <c r="AU16" s="7">
        <v>0.31207837217513001</v>
      </c>
      <c r="AV16" s="7">
        <v>1.6880212692809999E-2</v>
      </c>
      <c r="AW16" s="8">
        <v>10414.7266666667</v>
      </c>
      <c r="AX16" s="8">
        <v>2.0833351141987402</v>
      </c>
      <c r="AY16" s="8">
        <v>10.112003994720199</v>
      </c>
      <c r="AZ16" s="8">
        <v>0.21124222434185999</v>
      </c>
      <c r="BA16" s="7">
        <v>1942608.9233333301</v>
      </c>
      <c r="BB16" s="7">
        <v>0.81939559129365902</v>
      </c>
      <c r="BC16" s="7">
        <v>677.97418026112598</v>
      </c>
      <c r="BD16" s="7">
        <v>5.5556770402778</v>
      </c>
      <c r="BE16" s="8">
        <v>12263.0766666667</v>
      </c>
      <c r="BF16" s="8">
        <v>3.8512888246254899</v>
      </c>
      <c r="BG16" s="8">
        <v>28.770105403365601</v>
      </c>
      <c r="BH16" s="8">
        <v>1.1734796343251099</v>
      </c>
      <c r="BI16" s="7">
        <v>76.75</v>
      </c>
      <c r="BJ16" s="7">
        <v>20.961286375859199</v>
      </c>
      <c r="BK16" s="7">
        <v>0.138829152786135</v>
      </c>
      <c r="BL16" s="7">
        <v>3.7184980523163401E-2</v>
      </c>
      <c r="BM16" s="8">
        <v>477000.61666666699</v>
      </c>
      <c r="BN16" s="8">
        <v>0.47243584750121598</v>
      </c>
      <c r="BO16" s="8">
        <v>91.840732984926603</v>
      </c>
      <c r="BP16" s="8">
        <v>0.43399312803898998</v>
      </c>
      <c r="BQ16" s="7">
        <v>23.36</v>
      </c>
      <c r="BR16" s="7">
        <v>118.007710482901</v>
      </c>
      <c r="BS16" s="7">
        <v>3.8550396327569299E-2</v>
      </c>
      <c r="BT16" s="7">
        <v>4.5492440088249E-2</v>
      </c>
      <c r="BU16" s="8">
        <v>42266.94</v>
      </c>
      <c r="BV16" s="8">
        <v>0.71498143072346798</v>
      </c>
      <c r="BW16" s="8">
        <v>101.48565683855701</v>
      </c>
      <c r="BX16" s="8">
        <v>0.72560360124155698</v>
      </c>
      <c r="BY16" s="7">
        <v>3189218.61333333</v>
      </c>
      <c r="BZ16" s="7">
        <v>0.74971123899960002</v>
      </c>
      <c r="CA16" s="7">
        <v>422.38828483987197</v>
      </c>
      <c r="CB16" s="7">
        <v>3.1668548037814501</v>
      </c>
      <c r="CC16" s="8">
        <v>220875.20333333299</v>
      </c>
      <c r="CD16" s="8">
        <v>5.8506190447802604</v>
      </c>
      <c r="CE16" s="7">
        <v>19809.116666666701</v>
      </c>
      <c r="CF16" s="7">
        <v>1.31291651596031</v>
      </c>
      <c r="CG16" s="8">
        <v>1005462.56333333</v>
      </c>
      <c r="CH16" s="8">
        <v>6.3066612724852797</v>
      </c>
      <c r="CI16" s="7">
        <v>103384.46666666699</v>
      </c>
      <c r="CJ16" s="7">
        <v>0.40134853434317802</v>
      </c>
      <c r="CK16" s="8">
        <v>520510.84</v>
      </c>
      <c r="CL16" s="8">
        <v>6.5968441209308502</v>
      </c>
      <c r="CM16" s="7">
        <v>665229.84</v>
      </c>
      <c r="CN16" s="7">
        <v>0.38831138930230003</v>
      </c>
    </row>
    <row r="17" spans="1:92" x14ac:dyDescent="0.35">
      <c r="A17" s="4"/>
      <c r="B17" s="4" t="b">
        <v>0</v>
      </c>
      <c r="C17" s="4" t="s">
        <v>16</v>
      </c>
      <c r="D17" s="5">
        <v>46212.501041666699</v>
      </c>
      <c r="E17" s="6" t="s">
        <v>30</v>
      </c>
      <c r="F17" s="7"/>
      <c r="G17" s="4" t="s">
        <v>138</v>
      </c>
      <c r="H17" t="s">
        <v>160</v>
      </c>
      <c r="I17" s="8">
        <v>5118940.22</v>
      </c>
      <c r="J17" s="8">
        <v>0.47953257981870201</v>
      </c>
      <c r="K17" s="8">
        <v>19170.450090473401</v>
      </c>
      <c r="L17" s="8">
        <v>91.962815864194795</v>
      </c>
      <c r="M17" s="7">
        <v>194687.57666666701</v>
      </c>
      <c r="N17" s="7">
        <v>1.0316093122746499</v>
      </c>
      <c r="O17" s="7">
        <v>1441.88012225178</v>
      </c>
      <c r="P17" s="7">
        <v>14.8917983890495</v>
      </c>
      <c r="Q17" s="8">
        <v>167062.71</v>
      </c>
      <c r="R17" s="8">
        <v>0.23555129025681201</v>
      </c>
      <c r="S17" s="8">
        <v>3983.54736595645</v>
      </c>
      <c r="T17" s="8">
        <v>9.3845158116001901</v>
      </c>
      <c r="U17" s="7">
        <v>18668.060000000001</v>
      </c>
      <c r="V17" s="7">
        <v>2.83365813648714</v>
      </c>
      <c r="W17" s="7">
        <v>209.54298320304201</v>
      </c>
      <c r="X17" s="7">
        <v>7.53284286226737</v>
      </c>
      <c r="Y17" s="8">
        <v>1279.7333333333299</v>
      </c>
      <c r="Z17" s="8">
        <v>8.4376474947255105</v>
      </c>
      <c r="AA17" s="8">
        <v>723.27491700041298</v>
      </c>
      <c r="AB17" s="8">
        <v>62.327611503903597</v>
      </c>
      <c r="AC17" s="7">
        <v>22335.336666666699</v>
      </c>
      <c r="AD17" s="7">
        <v>8.1285295837561805E-2</v>
      </c>
      <c r="AE17" s="7">
        <v>1204.2202021580299</v>
      </c>
      <c r="AF17" s="7">
        <v>1.03777229522355</v>
      </c>
      <c r="AG17" s="8">
        <v>204361.44</v>
      </c>
      <c r="AH17" s="8">
        <v>1.25079387861074</v>
      </c>
      <c r="AI17" s="8">
        <v>106.979186394365</v>
      </c>
      <c r="AJ17" s="8">
        <v>1.3387558239652899</v>
      </c>
      <c r="AK17" s="7">
        <v>17679.226666666698</v>
      </c>
      <c r="AL17" s="7">
        <v>1.5435256640300601</v>
      </c>
      <c r="AM17" s="7">
        <v>18.767031539793798</v>
      </c>
      <c r="AN17" s="7">
        <v>0.31506783981084402</v>
      </c>
      <c r="AO17" s="8">
        <v>11195665.27</v>
      </c>
      <c r="AP17" s="8">
        <v>0.62552545653171798</v>
      </c>
      <c r="AQ17" s="8">
        <v>2018.0158277141099</v>
      </c>
      <c r="AR17" s="8">
        <v>12.6252442334604</v>
      </c>
      <c r="AS17" s="7">
        <v>3769.4566666666701</v>
      </c>
      <c r="AT17" s="7">
        <v>3.0437389336234699</v>
      </c>
      <c r="AU17" s="7">
        <v>1.0456318894789201</v>
      </c>
      <c r="AV17" s="7">
        <v>3.1982052535327397E-2</v>
      </c>
      <c r="AW17" s="8">
        <v>36669.466666666704</v>
      </c>
      <c r="AX17" s="8">
        <v>0.407974891024599</v>
      </c>
      <c r="AY17" s="8">
        <v>35.6732160609589</v>
      </c>
      <c r="AZ17" s="8">
        <v>0.145650422967534</v>
      </c>
      <c r="BA17" s="7">
        <v>7423984.4500000002</v>
      </c>
      <c r="BB17" s="7">
        <v>0.50718829187612902</v>
      </c>
      <c r="BC17" s="7">
        <v>2591.1176767953398</v>
      </c>
      <c r="BD17" s="7">
        <v>13.142084718958699</v>
      </c>
      <c r="BE17" s="8">
        <v>24199.106666666699</v>
      </c>
      <c r="BF17" s="8">
        <v>4.0286662721927797</v>
      </c>
      <c r="BG17" s="8">
        <v>58.427290361124001</v>
      </c>
      <c r="BH17" s="8">
        <v>2.4223151785717199</v>
      </c>
      <c r="BI17" s="7">
        <v>350.37333333333299</v>
      </c>
      <c r="BJ17" s="7">
        <v>9.9985185876696292</v>
      </c>
      <c r="BK17" s="7">
        <v>0.77127649529989795</v>
      </c>
      <c r="BL17" s="7">
        <v>8.0972574174099504E-2</v>
      </c>
      <c r="BM17" s="8">
        <v>5660804</v>
      </c>
      <c r="BN17" s="8">
        <v>0.36299339880433901</v>
      </c>
      <c r="BO17" s="8">
        <v>1090.1603142276899</v>
      </c>
      <c r="BP17" s="8">
        <v>3.9572903325828799</v>
      </c>
      <c r="BQ17" s="7">
        <v>73.41</v>
      </c>
      <c r="BR17" s="7">
        <v>21.914980647693699</v>
      </c>
      <c r="BS17" s="7">
        <v>0.12114660078796501</v>
      </c>
      <c r="BT17" s="7">
        <v>2.65492541180214E-2</v>
      </c>
      <c r="BU17" s="8">
        <v>13201.87</v>
      </c>
      <c r="BV17" s="8">
        <v>2.79523328068939</v>
      </c>
      <c r="BW17" s="8">
        <v>31.698543789714702</v>
      </c>
      <c r="BX17" s="8">
        <v>0.88604824550394601</v>
      </c>
      <c r="BY17" s="7">
        <v>21493919.826666702</v>
      </c>
      <c r="BZ17" s="7">
        <v>0.62007480405345805</v>
      </c>
      <c r="CA17" s="7">
        <v>2846.8341132745099</v>
      </c>
      <c r="CB17" s="7">
        <v>17.652635335202302</v>
      </c>
      <c r="CC17" s="8">
        <v>233330.32</v>
      </c>
      <c r="CD17" s="8">
        <v>1.1966059030187499</v>
      </c>
      <c r="CE17" s="7">
        <v>19680.406666666699</v>
      </c>
      <c r="CF17" s="7">
        <v>0.89011947746712305</v>
      </c>
      <c r="CG17" s="8">
        <v>1045323.50333333</v>
      </c>
      <c r="CH17" s="8">
        <v>1.1000421540535801</v>
      </c>
      <c r="CI17" s="7">
        <v>102766.953333333</v>
      </c>
      <c r="CJ17" s="7">
        <v>0.57236807513146903</v>
      </c>
      <c r="CK17" s="8">
        <v>540173.93000000005</v>
      </c>
      <c r="CL17" s="8">
        <v>1.4209707283694399</v>
      </c>
      <c r="CM17" s="7">
        <v>652040.29666666698</v>
      </c>
      <c r="CN17" s="7">
        <v>0.69682243991464099</v>
      </c>
    </row>
    <row r="18" spans="1:92" x14ac:dyDescent="0.35">
      <c r="A18" s="4"/>
      <c r="B18" s="4" t="b">
        <v>0</v>
      </c>
      <c r="C18" s="4" t="s">
        <v>47</v>
      </c>
      <c r="D18" s="5">
        <v>46212.504027777803</v>
      </c>
      <c r="E18" s="6" t="s">
        <v>30</v>
      </c>
      <c r="F18" s="7"/>
      <c r="G18" s="4" t="s">
        <v>62</v>
      </c>
      <c r="H18" t="s">
        <v>161</v>
      </c>
      <c r="I18" s="8">
        <v>5325505.16</v>
      </c>
      <c r="J18" s="8">
        <v>0.77661186275066896</v>
      </c>
      <c r="K18" s="8">
        <v>19944.324873587499</v>
      </c>
      <c r="L18" s="8">
        <v>154.94548082936399</v>
      </c>
      <c r="M18" s="7">
        <v>200863.73333333299</v>
      </c>
      <c r="N18" s="7">
        <v>1.5582637971923401</v>
      </c>
      <c r="O18" s="7">
        <v>1487.6744785380699</v>
      </c>
      <c r="P18" s="7">
        <v>23.2079171848915</v>
      </c>
      <c r="Q18" s="8">
        <v>175815.876666667</v>
      </c>
      <c r="R18" s="8">
        <v>1.2587820310537601</v>
      </c>
      <c r="S18" s="8">
        <v>4192.2904322678696</v>
      </c>
      <c r="T18" s="8">
        <v>52.778310790331503</v>
      </c>
      <c r="U18" s="7">
        <v>17137.91</v>
      </c>
      <c r="V18" s="7">
        <v>2.1320684933202001</v>
      </c>
      <c r="W18" s="7">
        <v>187.753532984956</v>
      </c>
      <c r="X18" s="7">
        <v>5.2032090631065904</v>
      </c>
      <c r="Y18" s="8">
        <v>1254.71</v>
      </c>
      <c r="Z18" s="8">
        <v>7.4887726386013602</v>
      </c>
      <c r="AA18" s="8">
        <v>708.83100660161597</v>
      </c>
      <c r="AB18" s="8">
        <v>54.236746462395899</v>
      </c>
      <c r="AC18" s="7">
        <v>23160.86</v>
      </c>
      <c r="AD18" s="7">
        <v>1.27808879494885</v>
      </c>
      <c r="AE18" s="7">
        <v>1251.40769812031</v>
      </c>
      <c r="AF18" s="7">
        <v>16.920503711846401</v>
      </c>
      <c r="AG18" s="8">
        <v>187946.23</v>
      </c>
      <c r="AH18" s="8">
        <v>0.71195185995204402</v>
      </c>
      <c r="AI18" s="8">
        <v>98.381865939718196</v>
      </c>
      <c r="AJ18" s="8">
        <v>0.70081101525254696</v>
      </c>
      <c r="AK18" s="7">
        <v>18800.136666666702</v>
      </c>
      <c r="AL18" s="7">
        <v>0.46965810361444799</v>
      </c>
      <c r="AM18" s="7">
        <v>20.0612205277796</v>
      </c>
      <c r="AN18" s="7">
        <v>0.10194590440741599</v>
      </c>
      <c r="AO18" s="8">
        <v>11672600.1033333</v>
      </c>
      <c r="AP18" s="8">
        <v>1.22723112115245</v>
      </c>
      <c r="AQ18" s="8">
        <v>2103.9971138155802</v>
      </c>
      <c r="AR18" s="8">
        <v>25.8249126574107</v>
      </c>
      <c r="AS18" s="7">
        <v>2858.2966666666698</v>
      </c>
      <c r="AT18" s="7">
        <v>6.1303993811644704</v>
      </c>
      <c r="AU18" s="7">
        <v>0.79164293892638804</v>
      </c>
      <c r="AV18" s="7">
        <v>4.88445653414405E-2</v>
      </c>
      <c r="AW18" s="8">
        <v>31386.796666666702</v>
      </c>
      <c r="AX18" s="8">
        <v>1.50445465025338</v>
      </c>
      <c r="AY18" s="8">
        <v>30.5300895951871</v>
      </c>
      <c r="AZ18" s="8">
        <v>0.45972679434646302</v>
      </c>
      <c r="BA18" s="7">
        <v>7678178.3733333303</v>
      </c>
      <c r="BB18" s="7">
        <v>1.0675131105319899</v>
      </c>
      <c r="BC18" s="7">
        <v>2679.8380078359301</v>
      </c>
      <c r="BD18" s="7">
        <v>28.6081256052287</v>
      </c>
      <c r="BE18" s="8">
        <v>22444.2133333333</v>
      </c>
      <c r="BF18" s="8">
        <v>2.7503950667791299</v>
      </c>
      <c r="BG18" s="8">
        <v>54.066946413613501</v>
      </c>
      <c r="BH18" s="8">
        <v>1.5338026804751901</v>
      </c>
      <c r="BI18" s="7">
        <v>363.72</v>
      </c>
      <c r="BJ18" s="7">
        <v>13.080662895659801</v>
      </c>
      <c r="BK18" s="7">
        <v>0.80212570600835498</v>
      </c>
      <c r="BL18" s="7">
        <v>0.109968468988317</v>
      </c>
      <c r="BM18" s="8">
        <v>6003706.0566666704</v>
      </c>
      <c r="BN18" s="8">
        <v>1.1284984085338099</v>
      </c>
      <c r="BO18" s="8">
        <v>1156.1978955756599</v>
      </c>
      <c r="BP18" s="8">
        <v>13.047924666006899</v>
      </c>
      <c r="BQ18" s="7">
        <v>55.06</v>
      </c>
      <c r="BR18" s="7">
        <v>18.180167090446702</v>
      </c>
      <c r="BS18" s="7">
        <v>9.0864076275512295E-2</v>
      </c>
      <c r="BT18" s="7">
        <v>1.65192408920792E-2</v>
      </c>
      <c r="BU18" s="8">
        <v>13064.8766666667</v>
      </c>
      <c r="BV18" s="8">
        <v>1.7711472287063299</v>
      </c>
      <c r="BW18" s="8">
        <v>31.3696139354164</v>
      </c>
      <c r="BX18" s="8">
        <v>0.55560204787350298</v>
      </c>
      <c r="BY18" s="7">
        <v>21901582.896666698</v>
      </c>
      <c r="BZ18" s="7">
        <v>0.716216623734375</v>
      </c>
      <c r="CA18" s="7">
        <v>2900.8288230460298</v>
      </c>
      <c r="CB18" s="7">
        <v>20.7763733631398</v>
      </c>
      <c r="CC18" s="8">
        <v>228460.786666667</v>
      </c>
      <c r="CD18" s="8">
        <v>1.5895695922838899</v>
      </c>
      <c r="CE18" s="7">
        <v>19316.2166666667</v>
      </c>
      <c r="CF18" s="7">
        <v>0.706175069280637</v>
      </c>
      <c r="CG18" s="8">
        <v>1026264.05333333</v>
      </c>
      <c r="CH18" s="8">
        <v>1.76297010021392</v>
      </c>
      <c r="CI18" s="7">
        <v>100769.043333333</v>
      </c>
      <c r="CJ18" s="7">
        <v>1.3995777817069099</v>
      </c>
      <c r="CK18" s="8">
        <v>525789.07999999996</v>
      </c>
      <c r="CL18" s="8">
        <v>1.1480209095551199</v>
      </c>
      <c r="CM18" s="7">
        <v>640513.71333333303</v>
      </c>
      <c r="CN18" s="7">
        <v>0.32060647491081501</v>
      </c>
    </row>
    <row r="19" spans="1:92" x14ac:dyDescent="0.35">
      <c r="A19" s="4"/>
      <c r="B19" s="4" t="b">
        <v>0</v>
      </c>
      <c r="C19" s="4" t="s">
        <v>6</v>
      </c>
      <c r="D19" s="5">
        <v>46212.507118055597</v>
      </c>
      <c r="E19" s="6" t="s">
        <v>30</v>
      </c>
      <c r="F19" s="7"/>
      <c r="G19" s="4" t="s">
        <v>135</v>
      </c>
      <c r="H19" t="s">
        <v>162</v>
      </c>
      <c r="I19" s="8">
        <v>4496322.7266666703</v>
      </c>
      <c r="J19" s="8">
        <v>0.87848516790254005</v>
      </c>
      <c r="K19" s="8">
        <v>16837.876239284498</v>
      </c>
      <c r="L19" s="8">
        <v>147.98101198231501</v>
      </c>
      <c r="M19" s="7">
        <v>173334.94</v>
      </c>
      <c r="N19" s="7">
        <v>0.513552746208217</v>
      </c>
      <c r="O19" s="7">
        <v>1283.55670140291</v>
      </c>
      <c r="P19" s="7">
        <v>6.6003174683814096</v>
      </c>
      <c r="Q19" s="8">
        <v>179951.77</v>
      </c>
      <c r="R19" s="8">
        <v>0.67304001651326195</v>
      </c>
      <c r="S19" s="8">
        <v>4290.9220577371598</v>
      </c>
      <c r="T19" s="8">
        <v>28.883104407992199</v>
      </c>
      <c r="U19" s="7">
        <v>16865.6733333333</v>
      </c>
      <c r="V19" s="7">
        <v>1.2326432543106001</v>
      </c>
      <c r="W19" s="7">
        <v>183.87686253051001</v>
      </c>
      <c r="X19" s="7">
        <v>2.9604201634554999</v>
      </c>
      <c r="Y19" s="8">
        <v>1273.0633333333301</v>
      </c>
      <c r="Z19" s="8">
        <v>2.6765524425307299</v>
      </c>
      <c r="AA19" s="8">
        <v>719.424875078475</v>
      </c>
      <c r="AB19" s="8">
        <v>19.6682351227151</v>
      </c>
      <c r="AC19" s="7">
        <v>21247.6933333333</v>
      </c>
      <c r="AD19" s="7">
        <v>1.08376742797002</v>
      </c>
      <c r="AE19" s="7">
        <v>1142.04974212654</v>
      </c>
      <c r="AF19" s="7">
        <v>13.1627145364396</v>
      </c>
      <c r="AG19" s="8">
        <v>199723.54333333299</v>
      </c>
      <c r="AH19" s="8">
        <v>0.36846206887564498</v>
      </c>
      <c r="AI19" s="8">
        <v>104.550129204181</v>
      </c>
      <c r="AJ19" s="8">
        <v>0.38542396997351502</v>
      </c>
      <c r="AK19" s="7">
        <v>19000.616666666701</v>
      </c>
      <c r="AL19" s="7">
        <v>0.33498903384004702</v>
      </c>
      <c r="AM19" s="7">
        <v>20.292692285825598</v>
      </c>
      <c r="AN19" s="7">
        <v>7.3489491609630503E-2</v>
      </c>
      <c r="AO19" s="8">
        <v>11621463.24</v>
      </c>
      <c r="AP19" s="8">
        <v>0.97564911148065303</v>
      </c>
      <c r="AQ19" s="8">
        <v>2094.77821645414</v>
      </c>
      <c r="AR19" s="8">
        <v>20.440869261751899</v>
      </c>
      <c r="AS19" s="7">
        <v>4992.7833333333301</v>
      </c>
      <c r="AT19" s="7">
        <v>4.72197813996946</v>
      </c>
      <c r="AU19" s="7">
        <v>1.38663836062515</v>
      </c>
      <c r="AV19" s="7">
        <v>6.5718383101940905E-2</v>
      </c>
      <c r="AW19" s="8">
        <v>49057.283333333296</v>
      </c>
      <c r="AX19" s="8">
        <v>0.54744535448819098</v>
      </c>
      <c r="AY19" s="8">
        <v>47.733804314902798</v>
      </c>
      <c r="AZ19" s="8">
        <v>0.26146766638346403</v>
      </c>
      <c r="BA19" s="7">
        <v>7881665.86666667</v>
      </c>
      <c r="BB19" s="7">
        <v>1.1679074329904799</v>
      </c>
      <c r="BC19" s="7">
        <v>2750.8604679105601</v>
      </c>
      <c r="BD19" s="7">
        <v>32.128054761067702</v>
      </c>
      <c r="BE19" s="8">
        <v>26095.8733333333</v>
      </c>
      <c r="BF19" s="8">
        <v>2.3647899616649402</v>
      </c>
      <c r="BG19" s="8">
        <v>63.140143785172398</v>
      </c>
      <c r="BH19" s="8">
        <v>1.53332576327488</v>
      </c>
      <c r="BI19" s="7">
        <v>352.04</v>
      </c>
      <c r="BJ19" s="7">
        <v>13.2107698179626</v>
      </c>
      <c r="BK19" s="7">
        <v>0.77512879433941595</v>
      </c>
      <c r="BL19" s="7">
        <v>0.107495771421335</v>
      </c>
      <c r="BM19" s="8">
        <v>6046844.0199999996</v>
      </c>
      <c r="BN19" s="8">
        <v>0.35762510933611003</v>
      </c>
      <c r="BO19" s="8">
        <v>1164.5055936702799</v>
      </c>
      <c r="BP19" s="8">
        <v>4.1646435697418198</v>
      </c>
      <c r="BQ19" s="7">
        <v>61.73</v>
      </c>
      <c r="BR19" s="7">
        <v>41.605403837111801</v>
      </c>
      <c r="BS19" s="7">
        <v>0.10187140262418</v>
      </c>
      <c r="BT19" s="7">
        <v>4.2384008456320399E-2</v>
      </c>
      <c r="BU19" s="8">
        <v>12839.46</v>
      </c>
      <c r="BV19" s="8">
        <v>2.7168952904201999</v>
      </c>
      <c r="BW19" s="8">
        <v>30.828373938411001</v>
      </c>
      <c r="BX19" s="8">
        <v>0.83757463964573098</v>
      </c>
      <c r="BY19" s="7">
        <v>22449710.170000002</v>
      </c>
      <c r="BZ19" s="7">
        <v>0.33302003120075002</v>
      </c>
      <c r="CA19" s="7">
        <v>2973.4279256370301</v>
      </c>
      <c r="CB19" s="7">
        <v>9.9021827254849804</v>
      </c>
      <c r="CC19" s="8">
        <v>232597.523333333</v>
      </c>
      <c r="CD19" s="8">
        <v>0.65285468944453195</v>
      </c>
      <c r="CE19" s="7">
        <v>19369.733333333301</v>
      </c>
      <c r="CF19" s="7">
        <v>1.13319575534532</v>
      </c>
      <c r="CG19" s="8">
        <v>1035957.40666667</v>
      </c>
      <c r="CH19" s="8">
        <v>0.58650858246164095</v>
      </c>
      <c r="CI19" s="7">
        <v>102286.11333333301</v>
      </c>
      <c r="CJ19" s="7">
        <v>0.92771453516458802</v>
      </c>
      <c r="CK19" s="8">
        <v>532641.69666666701</v>
      </c>
      <c r="CL19" s="8">
        <v>0.29757882493216598</v>
      </c>
      <c r="CM19" s="7">
        <v>643627.36666666705</v>
      </c>
      <c r="CN19" s="7">
        <v>0.38759706698830398</v>
      </c>
    </row>
    <row r="20" spans="1:92" x14ac:dyDescent="0.35">
      <c r="A20" s="4"/>
      <c r="B20" s="4" t="b">
        <v>0</v>
      </c>
      <c r="C20" s="4" t="s">
        <v>144</v>
      </c>
      <c r="D20" s="5">
        <v>46212.510115740697</v>
      </c>
      <c r="E20" s="6" t="s">
        <v>30</v>
      </c>
      <c r="F20" s="7"/>
      <c r="G20" s="4" t="s">
        <v>17</v>
      </c>
      <c r="H20" t="s">
        <v>163</v>
      </c>
      <c r="I20" s="8">
        <v>6011304.2166666696</v>
      </c>
      <c r="J20" s="8">
        <v>1.22703548216109</v>
      </c>
      <c r="K20" s="8">
        <v>22513.602100583601</v>
      </c>
      <c r="L20" s="8">
        <v>276.33755618721301</v>
      </c>
      <c r="M20" s="7">
        <v>198496.07333333301</v>
      </c>
      <c r="N20" s="7">
        <v>1.2964584211891499</v>
      </c>
      <c r="O20" s="7">
        <v>1470.1189870800899</v>
      </c>
      <c r="P20" s="7">
        <v>19.081133396913799</v>
      </c>
      <c r="Q20" s="8">
        <v>163067.13666666701</v>
      </c>
      <c r="R20" s="8">
        <v>1.5883773441757001</v>
      </c>
      <c r="S20" s="8">
        <v>3888.2620525340099</v>
      </c>
      <c r="T20" s="8">
        <v>61.768490780989701</v>
      </c>
      <c r="U20" s="7">
        <v>18323.96</v>
      </c>
      <c r="V20" s="7">
        <v>0.60293467849195703</v>
      </c>
      <c r="W20" s="7">
        <v>204.642973517689</v>
      </c>
      <c r="X20" s="7">
        <v>1.5732649395055101</v>
      </c>
      <c r="Y20" s="8">
        <v>1229.68</v>
      </c>
      <c r="Z20" s="8">
        <v>3.9960218439536699</v>
      </c>
      <c r="AA20" s="8">
        <v>694.38324808495599</v>
      </c>
      <c r="AB20" s="8">
        <v>28.363484768116599</v>
      </c>
      <c r="AC20" s="7">
        <v>21573.503333333301</v>
      </c>
      <c r="AD20" s="7">
        <v>0.39758776787483002</v>
      </c>
      <c r="AE20" s="7">
        <v>1160.67327151533</v>
      </c>
      <c r="AF20" s="7">
        <v>4.9028800626350399</v>
      </c>
      <c r="AG20" s="8">
        <v>192657.286666667</v>
      </c>
      <c r="AH20" s="8">
        <v>0.85189727641875701</v>
      </c>
      <c r="AI20" s="8">
        <v>100.84924003016999</v>
      </c>
      <c r="AJ20" s="8">
        <v>0.85958601488527298</v>
      </c>
      <c r="AK20" s="7">
        <v>22766.65</v>
      </c>
      <c r="AL20" s="7">
        <v>2.0046835631262301</v>
      </c>
      <c r="AM20" s="7">
        <v>24.6409083499051</v>
      </c>
      <c r="AN20" s="7">
        <v>0.52695304332380599</v>
      </c>
      <c r="AO20" s="8">
        <v>12084627.116666701</v>
      </c>
      <c r="AP20" s="8">
        <v>0.33752237940038898</v>
      </c>
      <c r="AQ20" s="8">
        <v>2178.2768896653502</v>
      </c>
      <c r="AR20" s="8">
        <v>7.3532735525108199</v>
      </c>
      <c r="AS20" s="7">
        <v>5191.3966666666702</v>
      </c>
      <c r="AT20" s="7">
        <v>3.4736321822956602</v>
      </c>
      <c r="AU20" s="7">
        <v>1.44200250314576</v>
      </c>
      <c r="AV20" s="7">
        <v>5.0267608197394301E-2</v>
      </c>
      <c r="AW20" s="8">
        <v>71538.2</v>
      </c>
      <c r="AX20" s="8">
        <v>1.8089052132877901</v>
      </c>
      <c r="AY20" s="8">
        <v>69.620879881452197</v>
      </c>
      <c r="AZ20" s="8">
        <v>1.2598752387193499</v>
      </c>
      <c r="BA20" s="7">
        <v>8267805.0166666703</v>
      </c>
      <c r="BB20" s="7">
        <v>0.58822006137735094</v>
      </c>
      <c r="BC20" s="7">
        <v>2885.6331358268199</v>
      </c>
      <c r="BD20" s="7">
        <v>16.974150457555101</v>
      </c>
      <c r="BE20" s="8">
        <v>20654.77</v>
      </c>
      <c r="BF20" s="8">
        <v>1.01600834344864</v>
      </c>
      <c r="BG20" s="8">
        <v>49.620756859122203</v>
      </c>
      <c r="BH20" s="8">
        <v>0.52141997161489695</v>
      </c>
      <c r="BI20" s="7">
        <v>345.36666666666702</v>
      </c>
      <c r="BJ20" s="7">
        <v>11.594923300082099</v>
      </c>
      <c r="BK20" s="7">
        <v>0.75970418898518799</v>
      </c>
      <c r="BL20" s="7">
        <v>9.2559189262987604E-2</v>
      </c>
      <c r="BM20" s="8">
        <v>5969896.0866666697</v>
      </c>
      <c r="BN20" s="8">
        <v>1.09460817973554</v>
      </c>
      <c r="BO20" s="8">
        <v>1149.6866233308899</v>
      </c>
      <c r="BP20" s="8">
        <v>12.584806132975899</v>
      </c>
      <c r="BQ20" s="7">
        <v>66.736666666666693</v>
      </c>
      <c r="BR20" s="7">
        <v>15.6105160417733</v>
      </c>
      <c r="BS20" s="7">
        <v>0.11013377352657901</v>
      </c>
      <c r="BT20" s="7">
        <v>1.71924503837768E-2</v>
      </c>
      <c r="BU20" s="8">
        <v>12320.1566666667</v>
      </c>
      <c r="BV20" s="8">
        <v>1.0770777228600299</v>
      </c>
      <c r="BW20" s="8">
        <v>29.581493045642699</v>
      </c>
      <c r="BX20" s="8">
        <v>0.31861567168439497</v>
      </c>
      <c r="BY20" s="7">
        <v>23913456.1566667</v>
      </c>
      <c r="BZ20" s="7">
        <v>0.58988972187297395</v>
      </c>
      <c r="CA20" s="7">
        <v>3167.3001341971399</v>
      </c>
      <c r="CB20" s="7">
        <v>18.683705701119699</v>
      </c>
      <c r="CC20" s="8">
        <v>233222.14</v>
      </c>
      <c r="CD20" s="8">
        <v>1.5369453930335</v>
      </c>
      <c r="CE20" s="7">
        <v>19632.03</v>
      </c>
      <c r="CF20" s="7">
        <v>0.95072782569400605</v>
      </c>
      <c r="CG20" s="8">
        <v>1037194.24</v>
      </c>
      <c r="CH20" s="8">
        <v>0.444607333644983</v>
      </c>
      <c r="CI20" s="7">
        <v>102405.226666667</v>
      </c>
      <c r="CJ20" s="7">
        <v>0.46701249185666799</v>
      </c>
      <c r="CK20" s="8">
        <v>526099.41666666698</v>
      </c>
      <c r="CL20" s="8">
        <v>1.0775793654113901</v>
      </c>
      <c r="CM20" s="7">
        <v>640218.29666666698</v>
      </c>
      <c r="CN20" s="7">
        <v>8.4320998197179003E-2</v>
      </c>
    </row>
    <row r="21" spans="1:92" x14ac:dyDescent="0.35">
      <c r="A21" s="4"/>
      <c r="B21" s="4" t="b">
        <v>0</v>
      </c>
      <c r="C21" s="4" t="s">
        <v>50</v>
      </c>
      <c r="D21" s="5">
        <v>46212.513206018499</v>
      </c>
      <c r="E21" s="6" t="s">
        <v>30</v>
      </c>
      <c r="F21" s="7"/>
      <c r="G21" s="4" t="s">
        <v>4</v>
      </c>
      <c r="H21" t="s">
        <v>164</v>
      </c>
      <c r="I21" s="8">
        <v>6223723.9199999999</v>
      </c>
      <c r="J21" s="8">
        <v>0.53404083903592603</v>
      </c>
      <c r="K21" s="8">
        <v>23309.411165985701</v>
      </c>
      <c r="L21" s="8">
        <v>124.51993149471301</v>
      </c>
      <c r="M21" s="7">
        <v>196576.57333333301</v>
      </c>
      <c r="N21" s="7">
        <v>0.84849728512370304</v>
      </c>
      <c r="O21" s="7">
        <v>1455.8864681146999</v>
      </c>
      <c r="P21" s="7">
        <v>12.367327801798099</v>
      </c>
      <c r="Q21" s="8">
        <v>187494.03333333301</v>
      </c>
      <c r="R21" s="8">
        <v>0.28250446313129302</v>
      </c>
      <c r="S21" s="8">
        <v>4470.7878406113496</v>
      </c>
      <c r="T21" s="8">
        <v>12.6316366857526</v>
      </c>
      <c r="U21" s="7">
        <v>18469.349999999999</v>
      </c>
      <c r="V21" s="7">
        <v>0.76042763796211799</v>
      </c>
      <c r="W21" s="7">
        <v>206.71333797032901</v>
      </c>
      <c r="X21" s="7">
        <v>1.99996212099868</v>
      </c>
      <c r="Y21" s="8">
        <v>1217.9933333333299</v>
      </c>
      <c r="Z21" s="8">
        <v>5.4573646197313996</v>
      </c>
      <c r="AA21" s="8">
        <v>687.63749747110501</v>
      </c>
      <c r="AB21" s="8">
        <v>38.367853816322203</v>
      </c>
      <c r="AC21" s="7">
        <v>21307.743333333299</v>
      </c>
      <c r="AD21" s="7">
        <v>1.95004196589514</v>
      </c>
      <c r="AE21" s="7">
        <v>1145.4822424788799</v>
      </c>
      <c r="AF21" s="7">
        <v>23.750841050849399</v>
      </c>
      <c r="AG21" s="8">
        <v>157190.21666666699</v>
      </c>
      <c r="AH21" s="8">
        <v>0.38355914163472099</v>
      </c>
      <c r="AI21" s="8">
        <v>82.273677099365102</v>
      </c>
      <c r="AJ21" s="8">
        <v>0.315772657743986</v>
      </c>
      <c r="AK21" s="7">
        <v>18242.253333333301</v>
      </c>
      <c r="AL21" s="7">
        <v>2.2591894891275901</v>
      </c>
      <c r="AM21" s="7">
        <v>19.417095248693101</v>
      </c>
      <c r="AN21" s="7">
        <v>0.475836878516673</v>
      </c>
      <c r="AO21" s="8">
        <v>10648425.550000001</v>
      </c>
      <c r="AP21" s="8">
        <v>0.52904770497739795</v>
      </c>
      <c r="AQ21" s="8">
        <v>1919.36005413063</v>
      </c>
      <c r="AR21" s="8">
        <v>10.156056958711501</v>
      </c>
      <c r="AS21" s="7">
        <v>5218.09666666667</v>
      </c>
      <c r="AT21" s="7">
        <v>1.1611112035473901</v>
      </c>
      <c r="AU21" s="7">
        <v>1.4494452190022</v>
      </c>
      <c r="AV21" s="7">
        <v>1.6889084693472899E-2</v>
      </c>
      <c r="AW21" s="8">
        <v>52104.356666666703</v>
      </c>
      <c r="AX21" s="8">
        <v>0.62966185063487601</v>
      </c>
      <c r="AY21" s="8">
        <v>50.700388164322597</v>
      </c>
      <c r="AZ21" s="8">
        <v>0.31941487788641398</v>
      </c>
      <c r="BA21" s="7">
        <v>6802387.2000000002</v>
      </c>
      <c r="BB21" s="7">
        <v>0.65204525760604704</v>
      </c>
      <c r="BC21" s="7">
        <v>2374.16397046458</v>
      </c>
      <c r="BD21" s="7">
        <v>15.4809311374892</v>
      </c>
      <c r="BE21" s="8">
        <v>25114.846666666701</v>
      </c>
      <c r="BF21" s="8">
        <v>2.31672385906541</v>
      </c>
      <c r="BG21" s="8">
        <v>60.702608917898601</v>
      </c>
      <c r="BH21" s="8">
        <v>1.4456888327822399</v>
      </c>
      <c r="BI21" s="7">
        <v>306.993333333333</v>
      </c>
      <c r="BJ21" s="7">
        <v>26.808336882448799</v>
      </c>
      <c r="BK21" s="7">
        <v>0.67100885589933401</v>
      </c>
      <c r="BL21" s="7">
        <v>0.19022608049054199</v>
      </c>
      <c r="BM21" s="8">
        <v>4848064.2866666699</v>
      </c>
      <c r="BN21" s="8">
        <v>0.57003155152164298</v>
      </c>
      <c r="BO21" s="8">
        <v>933.63933720086698</v>
      </c>
      <c r="BP21" s="8">
        <v>5.3221649869538297</v>
      </c>
      <c r="BQ21" s="7">
        <v>56.726666666666702</v>
      </c>
      <c r="BR21" s="7">
        <v>41.700896579641402</v>
      </c>
      <c r="BS21" s="7">
        <v>9.36145326344998E-2</v>
      </c>
      <c r="BT21" s="7">
        <v>3.9038099437427497E-2</v>
      </c>
      <c r="BU21" s="8">
        <v>13068.19</v>
      </c>
      <c r="BV21" s="8">
        <v>2.1604419955942902</v>
      </c>
      <c r="BW21" s="8">
        <v>31.3775694630618</v>
      </c>
      <c r="BX21" s="8">
        <v>0.67789418787681499</v>
      </c>
      <c r="BY21" s="7">
        <v>18944127.420000002</v>
      </c>
      <c r="BZ21" s="7">
        <v>0.451189019949784</v>
      </c>
      <c r="CA21" s="7">
        <v>2509.11575930245</v>
      </c>
      <c r="CB21" s="7">
        <v>11.320952514938</v>
      </c>
      <c r="CC21" s="8">
        <v>234170.42</v>
      </c>
      <c r="CD21" s="8">
        <v>1.5052694844916601</v>
      </c>
      <c r="CE21" s="7">
        <v>19222.666666666701</v>
      </c>
      <c r="CF21" s="7">
        <v>0.86357027939556996</v>
      </c>
      <c r="CG21" s="8">
        <v>1043756.29666667</v>
      </c>
      <c r="CH21" s="8">
        <v>0.98876512018052498</v>
      </c>
      <c r="CI21" s="7">
        <v>102768.65</v>
      </c>
      <c r="CJ21" s="7">
        <v>1.4270350663607301</v>
      </c>
      <c r="CK21" s="8">
        <v>527387.63666666695</v>
      </c>
      <c r="CL21" s="8">
        <v>1.10329460835108</v>
      </c>
      <c r="CM21" s="7">
        <v>644269.60666666704</v>
      </c>
      <c r="CN21" s="7">
        <v>0.81836011170553602</v>
      </c>
    </row>
    <row r="22" spans="1:92" x14ac:dyDescent="0.35">
      <c r="A22" s="4"/>
      <c r="B22" s="4" t="b">
        <v>0</v>
      </c>
      <c r="C22" s="4" t="s">
        <v>142</v>
      </c>
      <c r="D22" s="5">
        <v>46212.516192129602</v>
      </c>
      <c r="E22" s="6" t="s">
        <v>30</v>
      </c>
      <c r="F22" s="7"/>
      <c r="G22" s="4" t="s">
        <v>102</v>
      </c>
      <c r="H22" t="s">
        <v>165</v>
      </c>
      <c r="I22" s="8">
        <v>4032288.65666667</v>
      </c>
      <c r="J22" s="8">
        <v>1.0526644303625701</v>
      </c>
      <c r="K22" s="8">
        <v>15099.419242280001</v>
      </c>
      <c r="L22" s="8">
        <v>159.02142706874301</v>
      </c>
      <c r="M22" s="7">
        <v>156108.49666666699</v>
      </c>
      <c r="N22" s="7">
        <v>1.0463880218836901</v>
      </c>
      <c r="O22" s="7">
        <v>1155.8277712399099</v>
      </c>
      <c r="P22" s="7">
        <v>12.111918945316701</v>
      </c>
      <c r="Q22" s="8">
        <v>185189.54333333299</v>
      </c>
      <c r="R22" s="8">
        <v>1.3444056369439199</v>
      </c>
      <c r="S22" s="8">
        <v>4415.8310087351902</v>
      </c>
      <c r="T22" s="8">
        <v>59.373636100877299</v>
      </c>
      <c r="U22" s="7">
        <v>16137.413333333299</v>
      </c>
      <c r="V22" s="7">
        <v>1.24389169954582</v>
      </c>
      <c r="W22" s="7">
        <v>173.506385769524</v>
      </c>
      <c r="X22" s="7">
        <v>2.858437880081</v>
      </c>
      <c r="Y22" s="8">
        <v>1039.4666666666701</v>
      </c>
      <c r="Z22" s="8">
        <v>4.0958186977978803</v>
      </c>
      <c r="AA22" s="8">
        <v>584.58874921764095</v>
      </c>
      <c r="AB22" s="8">
        <v>24.574852273159301</v>
      </c>
      <c r="AC22" s="7">
        <v>18945.446666666699</v>
      </c>
      <c r="AD22" s="7">
        <v>1.80904673448982</v>
      </c>
      <c r="AE22" s="7">
        <v>1010.4516989206199</v>
      </c>
      <c r="AF22" s="7">
        <v>19.590801943796301</v>
      </c>
      <c r="AG22" s="8">
        <v>163441.32666666701</v>
      </c>
      <c r="AH22" s="8">
        <v>0.44990621076607901</v>
      </c>
      <c r="AI22" s="8">
        <v>85.547640445995896</v>
      </c>
      <c r="AJ22" s="8">
        <v>0.38512396049174302</v>
      </c>
      <c r="AK22" s="7">
        <v>16852.416666666701</v>
      </c>
      <c r="AL22" s="7">
        <v>5.2488072007178799</v>
      </c>
      <c r="AM22" s="7">
        <v>17.812406817776399</v>
      </c>
      <c r="AN22" s="7">
        <v>1.0212916127716001</v>
      </c>
      <c r="AO22" s="8">
        <v>11710114.91</v>
      </c>
      <c r="AP22" s="8">
        <v>1.2369584192996601</v>
      </c>
      <c r="AQ22" s="8">
        <v>2110.7602418146498</v>
      </c>
      <c r="AR22" s="8">
        <v>26.113263557570001</v>
      </c>
      <c r="AS22" s="7">
        <v>2424.4266666666699</v>
      </c>
      <c r="AT22" s="7">
        <v>1.8505947619657299</v>
      </c>
      <c r="AU22" s="7">
        <v>0.67070020002627295</v>
      </c>
      <c r="AV22" s="7">
        <v>1.25066373950844E-2</v>
      </c>
      <c r="AW22" s="8">
        <v>20828.4433333333</v>
      </c>
      <c r="AX22" s="8">
        <v>2.4966094983781502</v>
      </c>
      <c r="AY22" s="8">
        <v>20.250638775121399</v>
      </c>
      <c r="AZ22" s="8">
        <v>0.50626878753981797</v>
      </c>
      <c r="BA22" s="7">
        <v>7983586.6399999997</v>
      </c>
      <c r="BB22" s="7">
        <v>0.563322477119375</v>
      </c>
      <c r="BC22" s="7">
        <v>2786.4334848870099</v>
      </c>
      <c r="BD22" s="7">
        <v>15.6968718415041</v>
      </c>
      <c r="BE22" s="8">
        <v>28499.67</v>
      </c>
      <c r="BF22" s="8">
        <v>1.9703383967802299</v>
      </c>
      <c r="BG22" s="8">
        <v>69.112803232591403</v>
      </c>
      <c r="BH22" s="8">
        <v>1.39524564619835</v>
      </c>
      <c r="BI22" s="7">
        <v>377.07333333333298</v>
      </c>
      <c r="BJ22" s="7">
        <v>22.773146719480302</v>
      </c>
      <c r="BK22" s="7">
        <v>0.83299032591297095</v>
      </c>
      <c r="BL22" s="7">
        <v>0.19848153367921201</v>
      </c>
      <c r="BM22" s="8">
        <v>5020702.3</v>
      </c>
      <c r="BN22" s="8">
        <v>0.49094666253837199</v>
      </c>
      <c r="BO22" s="8">
        <v>966.88672264986701</v>
      </c>
      <c r="BP22" s="8">
        <v>4.7470067759513102</v>
      </c>
      <c r="BQ22" s="7">
        <v>56.726666666666702</v>
      </c>
      <c r="BR22" s="7">
        <v>13.481219056572399</v>
      </c>
      <c r="BS22" s="7">
        <v>9.36145326344998E-2</v>
      </c>
      <c r="BT22" s="7">
        <v>1.26203802132436E-2</v>
      </c>
      <c r="BU22" s="8">
        <v>13701.2133333333</v>
      </c>
      <c r="BV22" s="8">
        <v>0.34948788873814002</v>
      </c>
      <c r="BW22" s="8">
        <v>32.897499431435797</v>
      </c>
      <c r="BX22" s="8">
        <v>0.11497277620987099</v>
      </c>
      <c r="BY22" s="7">
        <v>19575724.199999999</v>
      </c>
      <c r="BZ22" s="7">
        <v>0.44561457628120799</v>
      </c>
      <c r="CA22" s="7">
        <v>2592.7703440278401</v>
      </c>
      <c r="CB22" s="7">
        <v>11.5538590863206</v>
      </c>
      <c r="CC22" s="8">
        <v>235642.4</v>
      </c>
      <c r="CD22" s="8">
        <v>1.2023991759839101</v>
      </c>
      <c r="CE22" s="7">
        <v>19471.696666666699</v>
      </c>
      <c r="CF22" s="7">
        <v>0.1998098150166</v>
      </c>
      <c r="CG22" s="8">
        <v>1060249.66666667</v>
      </c>
      <c r="CH22" s="8">
        <v>1.1571559640837501</v>
      </c>
      <c r="CI22" s="7">
        <v>101869.99</v>
      </c>
      <c r="CJ22" s="7">
        <v>2.0529401910157299</v>
      </c>
      <c r="CK22" s="8">
        <v>539416.44333333301</v>
      </c>
      <c r="CL22" s="8">
        <v>0.94748323131754697</v>
      </c>
      <c r="CM22" s="7">
        <v>657335.27666666696</v>
      </c>
      <c r="CN22" s="7">
        <v>0.24959415005456101</v>
      </c>
    </row>
    <row r="23" spans="1:92" x14ac:dyDescent="0.35">
      <c r="A23" s="4"/>
      <c r="B23" s="4" t="b">
        <v>0</v>
      </c>
      <c r="C23" s="4" t="s">
        <v>42</v>
      </c>
      <c r="D23" s="5">
        <v>46212.519293981502</v>
      </c>
      <c r="E23" s="6" t="s">
        <v>30</v>
      </c>
      <c r="F23" s="7"/>
      <c r="G23" s="4" t="s">
        <v>79</v>
      </c>
      <c r="H23" t="s">
        <v>166</v>
      </c>
      <c r="I23" s="8">
        <v>4336700.2966666697</v>
      </c>
      <c r="J23" s="8">
        <v>1.36795830823466</v>
      </c>
      <c r="K23" s="8">
        <v>16239.8668510679</v>
      </c>
      <c r="L23" s="8">
        <v>222.25234668952299</v>
      </c>
      <c r="M23" s="7">
        <v>163963.843333333</v>
      </c>
      <c r="N23" s="7">
        <v>1.1584562024912799</v>
      </c>
      <c r="O23" s="7">
        <v>1214.0728196447201</v>
      </c>
      <c r="P23" s="7">
        <v>14.083849111879401</v>
      </c>
      <c r="Q23" s="8">
        <v>121099.493333333</v>
      </c>
      <c r="R23" s="8">
        <v>1.00967283045056</v>
      </c>
      <c r="S23" s="8">
        <v>2887.4294523019898</v>
      </c>
      <c r="T23" s="8">
        <v>29.158814084693599</v>
      </c>
      <c r="U23" s="7">
        <v>13959.66</v>
      </c>
      <c r="V23" s="7">
        <v>1.2080169030353001</v>
      </c>
      <c r="W23" s="7">
        <v>142.49501574440399</v>
      </c>
      <c r="X23" s="7">
        <v>2.4013757340317099</v>
      </c>
      <c r="Y23" s="8">
        <v>972.72333333333302</v>
      </c>
      <c r="Z23" s="8">
        <v>5.9422263695580799</v>
      </c>
      <c r="AA23" s="8">
        <v>546.06331723214601</v>
      </c>
      <c r="AB23" s="8">
        <v>33.364002916035702</v>
      </c>
      <c r="AC23" s="7">
        <v>18726.669999999998</v>
      </c>
      <c r="AD23" s="7">
        <v>0.81672595801048598</v>
      </c>
      <c r="AE23" s="7">
        <v>997.94627035412304</v>
      </c>
      <c r="AF23" s="7">
        <v>8.7424769349109894</v>
      </c>
      <c r="AG23" s="8">
        <v>130669.336666667</v>
      </c>
      <c r="AH23" s="8">
        <v>1.54079959732602</v>
      </c>
      <c r="AI23" s="8">
        <v>68.383601730287893</v>
      </c>
      <c r="AJ23" s="8">
        <v>1.05447555064895</v>
      </c>
      <c r="AK23" s="7">
        <v>16202.6933333333</v>
      </c>
      <c r="AL23" s="7">
        <v>1.56220496827686</v>
      </c>
      <c r="AM23" s="7">
        <v>17.0622441970153</v>
      </c>
      <c r="AN23" s="7">
        <v>0.29224842774529702</v>
      </c>
      <c r="AO23" s="8">
        <v>11860428.24</v>
      </c>
      <c r="AP23" s="8">
        <v>0.64851632879917598</v>
      </c>
      <c r="AQ23" s="8">
        <v>2137.8585632797999</v>
      </c>
      <c r="AR23" s="8">
        <v>13.866478418603</v>
      </c>
      <c r="AS23" s="7">
        <v>2643.0266666666698</v>
      </c>
      <c r="AT23" s="7">
        <v>2.4772830380357398</v>
      </c>
      <c r="AU23" s="7">
        <v>0.73163569389209704</v>
      </c>
      <c r="AV23" s="7">
        <v>1.8251449104308599E-2</v>
      </c>
      <c r="AW23" s="8">
        <v>19184.416666666701</v>
      </c>
      <c r="AX23" s="8">
        <v>0.52502759292972601</v>
      </c>
      <c r="AY23" s="8">
        <v>18.6500396349578</v>
      </c>
      <c r="AZ23" s="8">
        <v>9.8062835853648306E-2</v>
      </c>
      <c r="BA23" s="7">
        <v>12235142.42</v>
      </c>
      <c r="BB23" s="7">
        <v>0.86593225125655604</v>
      </c>
      <c r="BC23" s="7">
        <v>4270.33770766625</v>
      </c>
      <c r="BD23" s="7">
        <v>36.978639896064898</v>
      </c>
      <c r="BE23" s="8">
        <v>30933.796666666702</v>
      </c>
      <c r="BF23" s="8">
        <v>1.03192363778816</v>
      </c>
      <c r="BG23" s="8">
        <v>75.160822948019799</v>
      </c>
      <c r="BH23" s="8">
        <v>0.79314175007784904</v>
      </c>
      <c r="BI23" s="7">
        <v>231.91</v>
      </c>
      <c r="BJ23" s="7">
        <v>16.484196950413502</v>
      </c>
      <c r="BK23" s="7">
        <v>0.49746278416906597</v>
      </c>
      <c r="BL23" s="7">
        <v>8.8360570952098497E-2</v>
      </c>
      <c r="BM23" s="8">
        <v>8553073.6933333296</v>
      </c>
      <c r="BN23" s="8">
        <v>0.34112736752188799</v>
      </c>
      <c r="BO23" s="8">
        <v>1647.16629141678</v>
      </c>
      <c r="BP23" s="8">
        <v>5.6190105237706804</v>
      </c>
      <c r="BQ23" s="7">
        <v>36.706666666666699</v>
      </c>
      <c r="BR23" s="7">
        <v>7.8643788937924297</v>
      </c>
      <c r="BS23" s="7">
        <v>6.0576050850341498E-2</v>
      </c>
      <c r="BT23" s="7">
        <v>4.7639301577672797E-3</v>
      </c>
      <c r="BU23" s="8">
        <v>9601.7666666666701</v>
      </c>
      <c r="BV23" s="8">
        <v>0.63749945353992299</v>
      </c>
      <c r="BW23" s="8">
        <v>23.0544628254904</v>
      </c>
      <c r="BX23" s="8">
        <v>0.14697207452844699</v>
      </c>
      <c r="BY23" s="7">
        <v>35676623.700000003</v>
      </c>
      <c r="BZ23" s="7">
        <v>0.46706133004141898</v>
      </c>
      <c r="CA23" s="7">
        <v>4725.3240618883801</v>
      </c>
      <c r="CB23" s="7">
        <v>22.070262560830098</v>
      </c>
      <c r="CC23" s="8">
        <v>231982.98333333299</v>
      </c>
      <c r="CD23" s="8">
        <v>1.0565675695819401</v>
      </c>
      <c r="CE23" s="7">
        <v>18100.456666666701</v>
      </c>
      <c r="CF23" s="7">
        <v>8.4347840429309198</v>
      </c>
      <c r="CG23" s="8">
        <v>1059458.0266666701</v>
      </c>
      <c r="CH23" s="8">
        <v>0.87139105085887603</v>
      </c>
      <c r="CI23" s="7">
        <v>97937.573333333305</v>
      </c>
      <c r="CJ23" s="7">
        <v>7.5292961528145801</v>
      </c>
      <c r="CK23" s="8">
        <v>533633.81000000006</v>
      </c>
      <c r="CL23" s="8">
        <v>0.41180784703781198</v>
      </c>
      <c r="CM23" s="7">
        <v>620351.70666666701</v>
      </c>
      <c r="CN23" s="7">
        <v>9.3349381887071292</v>
      </c>
    </row>
    <row r="24" spans="1:92" x14ac:dyDescent="0.35">
      <c r="A24" s="4"/>
      <c r="B24" s="4" t="b">
        <v>0</v>
      </c>
      <c r="C24" s="4" t="s">
        <v>74</v>
      </c>
      <c r="D24" s="5">
        <v>46212.522280092599</v>
      </c>
      <c r="E24" s="6" t="s">
        <v>30</v>
      </c>
      <c r="F24" s="7"/>
      <c r="G24" s="4" t="s">
        <v>150</v>
      </c>
      <c r="H24" t="s">
        <v>167</v>
      </c>
      <c r="I24" s="8">
        <v>5771218.1500000004</v>
      </c>
      <c r="J24" s="8">
        <v>1.24556882984927</v>
      </c>
      <c r="K24" s="8">
        <v>21614.1437860681</v>
      </c>
      <c r="L24" s="8">
        <v>269.30803212182201</v>
      </c>
      <c r="M24" s="7">
        <v>185742.813333333</v>
      </c>
      <c r="N24" s="7">
        <v>1.5924709413025799</v>
      </c>
      <c r="O24" s="7">
        <v>1375.55737477452</v>
      </c>
      <c r="P24" s="7">
        <v>21.9319471291676</v>
      </c>
      <c r="Q24" s="8">
        <v>132125.036666667</v>
      </c>
      <c r="R24" s="8">
        <v>1.93287855918469</v>
      </c>
      <c r="S24" s="8">
        <v>3150.3635207133698</v>
      </c>
      <c r="T24" s="8">
        <v>60.902700515177003</v>
      </c>
      <c r="U24" s="7">
        <v>15342.46</v>
      </c>
      <c r="V24" s="7">
        <v>1.4504756815378801</v>
      </c>
      <c r="W24" s="7">
        <v>162.18619096354601</v>
      </c>
      <c r="X24" s="7">
        <v>3.16896700519756</v>
      </c>
      <c r="Y24" s="8">
        <v>1196.3133333333301</v>
      </c>
      <c r="Z24" s="8">
        <v>2.5106298911707099</v>
      </c>
      <c r="AA24" s="8">
        <v>675.123418180606</v>
      </c>
      <c r="AB24" s="8">
        <v>17.336733082387401</v>
      </c>
      <c r="AC24" s="7">
        <v>20489.006666666701</v>
      </c>
      <c r="AD24" s="7">
        <v>3.0252477330990901</v>
      </c>
      <c r="AE24" s="7">
        <v>1098.6826771698099</v>
      </c>
      <c r="AF24" s="7">
        <v>35.430675033377099</v>
      </c>
      <c r="AG24" s="8">
        <v>131905.64666666699</v>
      </c>
      <c r="AH24" s="8">
        <v>1.75248308665675</v>
      </c>
      <c r="AI24" s="8">
        <v>69.031108113165999</v>
      </c>
      <c r="AJ24" s="8">
        <v>1.2106926181618201</v>
      </c>
      <c r="AK24" s="7">
        <v>17305.150000000001</v>
      </c>
      <c r="AL24" s="7">
        <v>2.66067246316344</v>
      </c>
      <c r="AM24" s="7">
        <v>18.335127191842201</v>
      </c>
      <c r="AN24" s="7">
        <v>0.53161073163403205</v>
      </c>
      <c r="AO24" s="8">
        <v>12348736.01</v>
      </c>
      <c r="AP24" s="8">
        <v>1.53537041481304</v>
      </c>
      <c r="AQ24" s="8">
        <v>2225.8901498689002</v>
      </c>
      <c r="AR24" s="8">
        <v>34.180669783578097</v>
      </c>
      <c r="AS24" s="7">
        <v>2651.36</v>
      </c>
      <c r="AT24" s="7">
        <v>5.6025184631391296</v>
      </c>
      <c r="AU24" s="7">
        <v>0.73395863891595503</v>
      </c>
      <c r="AV24" s="7">
        <v>4.14068481911272E-2</v>
      </c>
      <c r="AW24" s="8">
        <v>18292.343333333301</v>
      </c>
      <c r="AX24" s="8">
        <v>2.8466747476188599</v>
      </c>
      <c r="AY24" s="8">
        <v>17.78153072373</v>
      </c>
      <c r="AZ24" s="8">
        <v>0.50696842864017</v>
      </c>
      <c r="BA24" s="7">
        <v>12908364.473333299</v>
      </c>
      <c r="BB24" s="7">
        <v>2.2014356268754498</v>
      </c>
      <c r="BC24" s="7">
        <v>4505.3098212884797</v>
      </c>
      <c r="BD24" s="7">
        <v>99.182533892483704</v>
      </c>
      <c r="BE24" s="8">
        <v>36079.269999999997</v>
      </c>
      <c r="BF24" s="8">
        <v>4.0975365132725603</v>
      </c>
      <c r="BG24" s="8">
        <v>87.9456646702575</v>
      </c>
      <c r="BH24" s="8">
        <v>3.6732509369273201</v>
      </c>
      <c r="BI24" s="7">
        <v>303.65666666666698</v>
      </c>
      <c r="BJ24" s="7">
        <v>10.070931579856101</v>
      </c>
      <c r="BK24" s="7">
        <v>0.66329655322222003</v>
      </c>
      <c r="BL24" s="7">
        <v>7.0684421600573602E-2</v>
      </c>
      <c r="BM24" s="8">
        <v>8872790.5133333299</v>
      </c>
      <c r="BN24" s="8">
        <v>0.84694072234282403</v>
      </c>
      <c r="BO24" s="8">
        <v>1708.7387582439101</v>
      </c>
      <c r="BP24" s="8">
        <v>14.472191868666499</v>
      </c>
      <c r="BQ24" s="7">
        <v>61.733333333333299</v>
      </c>
      <c r="BR24" s="7">
        <v>40.806610527570299</v>
      </c>
      <c r="BS24" s="7">
        <v>0.101876903536898</v>
      </c>
      <c r="BT24" s="7">
        <v>4.1572511243850599E-2</v>
      </c>
      <c r="BU24" s="8">
        <v>10039.24</v>
      </c>
      <c r="BV24" s="8">
        <v>1.5373936213571799</v>
      </c>
      <c r="BW24" s="8">
        <v>24.104864595353199</v>
      </c>
      <c r="BX24" s="8">
        <v>0.37058665072615099</v>
      </c>
      <c r="BY24" s="7">
        <v>30109754.733333301</v>
      </c>
      <c r="BZ24" s="7">
        <v>1.7354335475651099</v>
      </c>
      <c r="CA24" s="7">
        <v>3987.9958702735298</v>
      </c>
      <c r="CB24" s="7">
        <v>69.209394039897106</v>
      </c>
      <c r="CC24" s="8">
        <v>234439.80666666699</v>
      </c>
      <c r="CD24" s="8">
        <v>0.92932773209213504</v>
      </c>
      <c r="CE24" s="7">
        <v>18873.976666666698</v>
      </c>
      <c r="CF24" s="7">
        <v>6.4865463321043704</v>
      </c>
      <c r="CG24" s="8">
        <v>1064981.01</v>
      </c>
      <c r="CH24" s="8">
        <v>0.30769613749351898</v>
      </c>
      <c r="CI24" s="7">
        <v>100997.63666666699</v>
      </c>
      <c r="CJ24" s="7">
        <v>6.6869567891901802</v>
      </c>
      <c r="CK24" s="8">
        <v>534360.95666666701</v>
      </c>
      <c r="CL24" s="8">
        <v>0.52861021888487503</v>
      </c>
      <c r="CM24" s="7">
        <v>629758.45333333302</v>
      </c>
      <c r="CN24" s="7">
        <v>8.9819297793198896</v>
      </c>
    </row>
    <row r="25" spans="1:92" x14ac:dyDescent="0.35">
      <c r="A25" s="4"/>
      <c r="B25" s="4" t="b">
        <v>0</v>
      </c>
      <c r="C25" s="4" t="s">
        <v>127</v>
      </c>
      <c r="D25" s="5">
        <v>46212.525358796302</v>
      </c>
      <c r="E25" s="6" t="s">
        <v>30</v>
      </c>
      <c r="F25" s="7"/>
      <c r="G25" s="4" t="s">
        <v>114</v>
      </c>
      <c r="H25" t="s">
        <v>168</v>
      </c>
      <c r="I25" s="8">
        <v>3937230.2433333299</v>
      </c>
      <c r="J25" s="8">
        <v>1.1618350703109399</v>
      </c>
      <c r="K25" s="8">
        <v>14743.292452315</v>
      </c>
      <c r="L25" s="8">
        <v>171.37575384484799</v>
      </c>
      <c r="M25" s="7">
        <v>148896.00333333301</v>
      </c>
      <c r="N25" s="7">
        <v>1.17477999153901</v>
      </c>
      <c r="O25" s="7">
        <v>1102.3492882211999</v>
      </c>
      <c r="P25" s="7">
        <v>12.9697987263397</v>
      </c>
      <c r="Q25" s="8">
        <v>126336.53333333301</v>
      </c>
      <c r="R25" s="8">
        <v>0.73499996291812697</v>
      </c>
      <c r="S25" s="8">
        <v>3012.3209149721401</v>
      </c>
      <c r="T25" s="8">
        <v>22.144360031195099</v>
      </c>
      <c r="U25" s="7">
        <v>16077.38</v>
      </c>
      <c r="V25" s="7">
        <v>2.7775516583860398</v>
      </c>
      <c r="W25" s="7">
        <v>172.65150662166801</v>
      </c>
      <c r="X25" s="7">
        <v>6.3590126290630904</v>
      </c>
      <c r="Y25" s="8">
        <v>1031.12333333333</v>
      </c>
      <c r="Z25" s="8">
        <v>2.52245573213031</v>
      </c>
      <c r="AA25" s="8">
        <v>579.77282971208695</v>
      </c>
      <c r="AB25" s="8">
        <v>15.0132180566694</v>
      </c>
      <c r="AC25" s="7">
        <v>16930.913333333301</v>
      </c>
      <c r="AD25" s="7">
        <v>1.00723282004004</v>
      </c>
      <c r="AE25" s="7">
        <v>895.29955276782698</v>
      </c>
      <c r="AF25" s="7">
        <v>9.7478274714161994</v>
      </c>
      <c r="AG25" s="8">
        <v>184431.74666666699</v>
      </c>
      <c r="AH25" s="8">
        <v>0.97736866749529605</v>
      </c>
      <c r="AI25" s="8">
        <v>96.541186505877207</v>
      </c>
      <c r="AJ25" s="8">
        <v>0.94408427377974002</v>
      </c>
      <c r="AK25" s="7">
        <v>18671.4866666667</v>
      </c>
      <c r="AL25" s="7">
        <v>0.5547587346774</v>
      </c>
      <c r="AM25" s="7">
        <v>19.912682809939302</v>
      </c>
      <c r="AN25" s="7">
        <v>0.119594168675742</v>
      </c>
      <c r="AO25" s="8">
        <v>12352691.836666699</v>
      </c>
      <c r="AP25" s="8">
        <v>1.2021996067877101</v>
      </c>
      <c r="AQ25" s="8">
        <v>2226.6033019404699</v>
      </c>
      <c r="AR25" s="8">
        <v>26.772139734236902</v>
      </c>
      <c r="AS25" s="7">
        <v>4610.57</v>
      </c>
      <c r="AT25" s="7">
        <v>2.7020264573317898</v>
      </c>
      <c r="AU25" s="7">
        <v>1.2800950933389199</v>
      </c>
      <c r="AV25" s="7">
        <v>3.4726770343568997E-2</v>
      </c>
      <c r="AW25" s="8">
        <v>48831.156666666699</v>
      </c>
      <c r="AX25" s="8">
        <v>1.31433054174221</v>
      </c>
      <c r="AY25" s="8">
        <v>47.513650861450301</v>
      </c>
      <c r="AZ25" s="8">
        <v>0.62484936540074798</v>
      </c>
      <c r="BA25" s="7">
        <v>11609154.163333301</v>
      </c>
      <c r="BB25" s="7">
        <v>1.1079558723221801</v>
      </c>
      <c r="BC25" s="7">
        <v>4051.8514251040801</v>
      </c>
      <c r="BD25" s="7">
        <v>44.893248409149102</v>
      </c>
      <c r="BE25" s="8">
        <v>34393.643333333297</v>
      </c>
      <c r="BF25" s="8">
        <v>1.8063953613825201</v>
      </c>
      <c r="BG25" s="8">
        <v>83.757426049621998</v>
      </c>
      <c r="BH25" s="8">
        <v>1.54369329073784</v>
      </c>
      <c r="BI25" s="7">
        <v>312</v>
      </c>
      <c r="BJ25" s="7">
        <v>3.3395959414181502</v>
      </c>
      <c r="BK25" s="7">
        <v>0.68258116221404497</v>
      </c>
      <c r="BL25" s="7">
        <v>2.4083508828607901E-2</v>
      </c>
      <c r="BM25" s="8">
        <v>8735077.8033333309</v>
      </c>
      <c r="BN25" s="8">
        <v>1.0879415811730599</v>
      </c>
      <c r="BO25" s="8">
        <v>1682.2174408226099</v>
      </c>
      <c r="BP25" s="8">
        <v>18.301783861361901</v>
      </c>
      <c r="BQ25" s="7">
        <v>60.06</v>
      </c>
      <c r="BR25" s="7">
        <v>16.6666666666666</v>
      </c>
      <c r="BS25" s="7">
        <v>9.9115445352474907E-2</v>
      </c>
      <c r="BT25" s="7">
        <v>1.65192408920792E-2</v>
      </c>
      <c r="BU25" s="8">
        <v>9403.0833333333303</v>
      </c>
      <c r="BV25" s="8">
        <v>2.3291286372519</v>
      </c>
      <c r="BW25" s="8">
        <v>22.577411290976499</v>
      </c>
      <c r="BX25" s="8">
        <v>0.52585695192832105</v>
      </c>
      <c r="BY25" s="7">
        <v>29160718.859999999</v>
      </c>
      <c r="BZ25" s="7">
        <v>1.1557660954133699</v>
      </c>
      <c r="CA25" s="7">
        <v>3862.2966830908499</v>
      </c>
      <c r="CB25" s="7">
        <v>44.639365864226299</v>
      </c>
      <c r="CC25" s="8">
        <v>235818.20666666701</v>
      </c>
      <c r="CD25" s="8">
        <v>1.4032968283168901</v>
      </c>
      <c r="CE25" s="7">
        <v>19194.413333333301</v>
      </c>
      <c r="CF25" s="7">
        <v>1.85025502799985</v>
      </c>
      <c r="CG25" s="8">
        <v>1087143.7433333299</v>
      </c>
      <c r="CH25" s="8">
        <v>1.5910294083009999</v>
      </c>
      <c r="CI25" s="7">
        <v>105331.153333333</v>
      </c>
      <c r="CJ25" s="7">
        <v>0.75796171247861099</v>
      </c>
      <c r="CK25" s="8">
        <v>539239.37333333294</v>
      </c>
      <c r="CL25" s="8">
        <v>0.52871833125199597</v>
      </c>
      <c r="CM25" s="7">
        <v>653787.63</v>
      </c>
      <c r="CN25" s="7">
        <v>0.25862695122359802</v>
      </c>
    </row>
    <row r="26" spans="1:92" x14ac:dyDescent="0.35">
      <c r="A26" s="4"/>
      <c r="B26" s="4" t="b">
        <v>0</v>
      </c>
      <c r="C26" s="4" t="s">
        <v>99</v>
      </c>
      <c r="D26" s="5">
        <v>46212.528344907398</v>
      </c>
      <c r="E26" s="6" t="s">
        <v>30</v>
      </c>
      <c r="F26" s="7"/>
      <c r="G26" s="4" t="s">
        <v>145</v>
      </c>
      <c r="H26" t="s">
        <v>169</v>
      </c>
      <c r="I26" s="8">
        <v>2323312.7666666699</v>
      </c>
      <c r="J26" s="8">
        <v>0.51512287480290697</v>
      </c>
      <c r="K26" s="8">
        <v>8696.9128623442102</v>
      </c>
      <c r="L26" s="8">
        <v>44.8365924198784</v>
      </c>
      <c r="M26" s="7">
        <v>151423.19333333301</v>
      </c>
      <c r="N26" s="7">
        <v>0.45450690455077403</v>
      </c>
      <c r="O26" s="7">
        <v>1121.0876469626101</v>
      </c>
      <c r="P26" s="7">
        <v>5.1030114235418402</v>
      </c>
      <c r="Q26" s="8">
        <v>58353.046666666698</v>
      </c>
      <c r="R26" s="8">
        <v>0.92419185174429197</v>
      </c>
      <c r="S26" s="8">
        <v>1391.0697717277701</v>
      </c>
      <c r="T26" s="8">
        <v>12.860934664512399</v>
      </c>
      <c r="U26" s="7">
        <v>15833.4333333333</v>
      </c>
      <c r="V26" s="7">
        <v>1.26367840989225</v>
      </c>
      <c r="W26" s="7">
        <v>169.17768787892899</v>
      </c>
      <c r="X26" s="7">
        <v>2.8492065182050701</v>
      </c>
      <c r="Y26" s="8">
        <v>1343.15</v>
      </c>
      <c r="Z26" s="8">
        <v>11.2814318920923</v>
      </c>
      <c r="AA26" s="8">
        <v>759.88013817226704</v>
      </c>
      <c r="AB26" s="8">
        <v>87.463804985393494</v>
      </c>
      <c r="AC26" s="7">
        <v>24748.45</v>
      </c>
      <c r="AD26" s="7">
        <v>2.1138045305637898</v>
      </c>
      <c r="AE26" s="7">
        <v>1342.1554622231799</v>
      </c>
      <c r="AF26" s="7">
        <v>29.9027002440729</v>
      </c>
      <c r="AG26" s="8">
        <v>130218.816666667</v>
      </c>
      <c r="AH26" s="8">
        <v>0.82207763354105401</v>
      </c>
      <c r="AI26" s="8">
        <v>68.147645881338903</v>
      </c>
      <c r="AJ26" s="8">
        <v>0.56066474562526503</v>
      </c>
      <c r="AK26" s="7">
        <v>8935.4633333333295</v>
      </c>
      <c r="AL26" s="7">
        <v>2.1301908263118201</v>
      </c>
      <c r="AM26" s="7">
        <v>8.6715892477688108</v>
      </c>
      <c r="AN26" s="7">
        <v>0.21976703231205699</v>
      </c>
      <c r="AO26" s="8">
        <v>5467590.05333333</v>
      </c>
      <c r="AP26" s="8">
        <v>0.84603785755745597</v>
      </c>
      <c r="AQ26" s="8">
        <v>985.364740829178</v>
      </c>
      <c r="AR26" s="8">
        <v>8.3393199384568906</v>
      </c>
      <c r="AS26" s="7">
        <v>1346.48</v>
      </c>
      <c r="AT26" s="7">
        <v>3.7174707941573399</v>
      </c>
      <c r="AU26" s="7">
        <v>0.37021889858824902</v>
      </c>
      <c r="AV26" s="7">
        <v>1.39530017891339E-2</v>
      </c>
      <c r="AW26" s="8">
        <v>5016.1566666666704</v>
      </c>
      <c r="AX26" s="8">
        <v>7.1834502739183002</v>
      </c>
      <c r="AY26" s="8">
        <v>4.8560390670753204</v>
      </c>
      <c r="AZ26" s="8">
        <v>0.350814797251842</v>
      </c>
      <c r="BA26" s="7">
        <v>3649729.57333333</v>
      </c>
      <c r="BB26" s="7">
        <v>0.33314688055630898</v>
      </c>
      <c r="BC26" s="7">
        <v>1273.8039593846299</v>
      </c>
      <c r="BD26" s="7">
        <v>4.2437952956518901</v>
      </c>
      <c r="BE26" s="8">
        <v>12740.7166666667</v>
      </c>
      <c r="BF26" s="8">
        <v>0.4808317606652</v>
      </c>
      <c r="BG26" s="8">
        <v>29.9568867555592</v>
      </c>
      <c r="BH26" s="8">
        <v>0.15221485154402101</v>
      </c>
      <c r="BI26" s="7">
        <v>151.83000000000001</v>
      </c>
      <c r="BJ26" s="7">
        <v>23.848168593210801</v>
      </c>
      <c r="BK26" s="7">
        <v>0.31236751991832401</v>
      </c>
      <c r="BL26" s="7">
        <v>8.3691984910377507E-2</v>
      </c>
      <c r="BM26" s="8">
        <v>1108132.6066666699</v>
      </c>
      <c r="BN26" s="8">
        <v>0.52803753217759997</v>
      </c>
      <c r="BO26" s="8">
        <v>213.38689848793999</v>
      </c>
      <c r="BP26" s="8">
        <v>1.1268798040788901</v>
      </c>
      <c r="BQ26" s="7">
        <v>36.706666666666699</v>
      </c>
      <c r="BR26" s="7">
        <v>43.833621131944497</v>
      </c>
      <c r="BS26" s="7">
        <v>6.0576050850341498E-2</v>
      </c>
      <c r="BT26" s="7">
        <v>2.6552676626432702E-2</v>
      </c>
      <c r="BU26" s="8">
        <v>5141.3599999999997</v>
      </c>
      <c r="BV26" s="8">
        <v>1.45383616607981</v>
      </c>
      <c r="BW26" s="8">
        <v>12.3447379120297</v>
      </c>
      <c r="BX26" s="8">
        <v>0.17947226437303601</v>
      </c>
      <c r="BY26" s="7">
        <v>8105673.5166666703</v>
      </c>
      <c r="BZ26" s="7">
        <v>0.29929585259955499</v>
      </c>
      <c r="CA26" s="7">
        <v>1073.5695547308601</v>
      </c>
      <c r="CB26" s="7">
        <v>3.2132139687102002</v>
      </c>
      <c r="CC26" s="8">
        <v>233980.51666666701</v>
      </c>
      <c r="CD26" s="8">
        <v>1.0538406945282199</v>
      </c>
      <c r="CE26" s="7">
        <v>19196.026666666701</v>
      </c>
      <c r="CF26" s="7">
        <v>1.8502643178704501</v>
      </c>
      <c r="CG26" s="8">
        <v>1111625.83</v>
      </c>
      <c r="CH26" s="8">
        <v>1.3990030575052099</v>
      </c>
      <c r="CI26" s="7">
        <v>106163.233333333</v>
      </c>
      <c r="CJ26" s="7">
        <v>0.79148854377773403</v>
      </c>
      <c r="CK26" s="8">
        <v>539671.56000000006</v>
      </c>
      <c r="CL26" s="8">
        <v>0.35327703002403499</v>
      </c>
      <c r="CM26" s="7">
        <v>656183.66</v>
      </c>
      <c r="CN26" s="7">
        <v>0.34521071130592201</v>
      </c>
    </row>
    <row r="27" spans="1:92" x14ac:dyDescent="0.35">
      <c r="A27" s="4"/>
      <c r="B27" s="4" t="b">
        <v>0</v>
      </c>
      <c r="C27" s="4" t="s">
        <v>103</v>
      </c>
      <c r="D27" s="5">
        <v>46212.531446759298</v>
      </c>
      <c r="E27" s="6" t="s">
        <v>30</v>
      </c>
      <c r="F27" s="7"/>
      <c r="G27" s="4" t="s">
        <v>69</v>
      </c>
      <c r="H27" t="s">
        <v>170</v>
      </c>
      <c r="I27" s="8">
        <v>3032950.0566666699</v>
      </c>
      <c r="J27" s="8">
        <v>0.52853450445768702</v>
      </c>
      <c r="K27" s="8">
        <v>11355.497634224899</v>
      </c>
      <c r="L27" s="8">
        <v>60.055486257657002</v>
      </c>
      <c r="M27" s="7">
        <v>163548.07999999999</v>
      </c>
      <c r="N27" s="7">
        <v>1.0621239592609899</v>
      </c>
      <c r="O27" s="7">
        <v>1210.9900587555401</v>
      </c>
      <c r="P27" s="7">
        <v>12.879953955637401</v>
      </c>
      <c r="Q27" s="8">
        <v>184606.41</v>
      </c>
      <c r="R27" s="8">
        <v>1.7970887934527899</v>
      </c>
      <c r="S27" s="8">
        <v>4401.9246083770304</v>
      </c>
      <c r="T27" s="8">
        <v>79.115790830270299</v>
      </c>
      <c r="U27" s="7">
        <v>15661.446666666699</v>
      </c>
      <c r="V27" s="7">
        <v>2.4648127883055699</v>
      </c>
      <c r="W27" s="7">
        <v>166.72858490764699</v>
      </c>
      <c r="X27" s="7">
        <v>5.4970296603671498</v>
      </c>
      <c r="Y27" s="8">
        <v>1288.08</v>
      </c>
      <c r="Z27" s="8">
        <v>9.3296501534290197</v>
      </c>
      <c r="AA27" s="8">
        <v>728.09276056489796</v>
      </c>
      <c r="AB27" s="8">
        <v>69.366186661292005</v>
      </c>
      <c r="AC27" s="7">
        <v>24833.733333333301</v>
      </c>
      <c r="AD27" s="7">
        <v>1.1483103535874899</v>
      </c>
      <c r="AE27" s="7">
        <v>1347.03031770554</v>
      </c>
      <c r="AF27" s="7">
        <v>16.300422927619</v>
      </c>
      <c r="AG27" s="8">
        <v>216275.81</v>
      </c>
      <c r="AH27" s="8">
        <v>0.31449138513979902</v>
      </c>
      <c r="AI27" s="8">
        <v>113.2192318708</v>
      </c>
      <c r="AJ27" s="8">
        <v>0.35623236351652798</v>
      </c>
      <c r="AK27" s="7">
        <v>20475.849999999999</v>
      </c>
      <c r="AL27" s="7">
        <v>1.2587674235585899</v>
      </c>
      <c r="AM27" s="7">
        <v>21.995978664490799</v>
      </c>
      <c r="AN27" s="7">
        <v>0.29758729849953103</v>
      </c>
      <c r="AO27" s="8">
        <v>13115558.8433333</v>
      </c>
      <c r="AP27" s="8">
        <v>1.0485624645809699</v>
      </c>
      <c r="AQ27" s="8">
        <v>2364.13212511144</v>
      </c>
      <c r="AR27" s="8">
        <v>24.7928242483679</v>
      </c>
      <c r="AS27" s="7">
        <v>2597.9733333333302</v>
      </c>
      <c r="AT27" s="7">
        <v>3.3435979405113501</v>
      </c>
      <c r="AU27" s="7">
        <v>0.71907692391511502</v>
      </c>
      <c r="AV27" s="7">
        <v>2.4214132566899499E-2</v>
      </c>
      <c r="AW27" s="8">
        <v>35630.839999999997</v>
      </c>
      <c r="AX27" s="8">
        <v>2.1282051911165101</v>
      </c>
      <c r="AY27" s="8">
        <v>34.6620250728052</v>
      </c>
      <c r="AZ27" s="8">
        <v>0.73826670178621701</v>
      </c>
      <c r="BA27" s="7">
        <v>36365128.43</v>
      </c>
      <c r="BB27" s="7">
        <v>0.81169684680895704</v>
      </c>
      <c r="BC27" s="7">
        <v>12692.3342634407</v>
      </c>
      <c r="BD27" s="7">
        <v>103.023659868666</v>
      </c>
      <c r="BE27" s="8">
        <v>54082.23</v>
      </c>
      <c r="BF27" s="8">
        <v>2.9548995716321098</v>
      </c>
      <c r="BG27" s="8">
        <v>132.677213979963</v>
      </c>
      <c r="BH27" s="8">
        <v>3.9707024135853901</v>
      </c>
      <c r="BI27" s="7">
        <v>363.72</v>
      </c>
      <c r="BJ27" s="7">
        <v>13.365771075679801</v>
      </c>
      <c r="BK27" s="7">
        <v>0.80212570600835498</v>
      </c>
      <c r="BL27" s="7">
        <v>0.11236535898563001</v>
      </c>
      <c r="BM27" s="8">
        <v>2671104.32333333</v>
      </c>
      <c r="BN27" s="8">
        <v>0.569338598832974</v>
      </c>
      <c r="BO27" s="8">
        <v>514.39084371736101</v>
      </c>
      <c r="BP27" s="8">
        <v>2.9287516562621798</v>
      </c>
      <c r="BQ27" s="7">
        <v>68.403333333333293</v>
      </c>
      <c r="BR27" s="7">
        <v>21.126276357608798</v>
      </c>
      <c r="BS27" s="7">
        <v>0.112884229885567</v>
      </c>
      <c r="BT27" s="7">
        <v>2.3848234369783099E-2</v>
      </c>
      <c r="BU27" s="8">
        <v>7471.5333333333301</v>
      </c>
      <c r="BV27" s="8">
        <v>3.4045616131739198</v>
      </c>
      <c r="BW27" s="8">
        <v>17.939634804992</v>
      </c>
      <c r="BX27" s="8">
        <v>0.61076592011420505</v>
      </c>
      <c r="BY27" s="7">
        <v>13470998.23</v>
      </c>
      <c r="BZ27" s="7">
        <v>0.42434245817396099</v>
      </c>
      <c r="CA27" s="7">
        <v>1784.2033404363101</v>
      </c>
      <c r="CB27" s="7">
        <v>7.5712242107081398</v>
      </c>
      <c r="CC27" s="8">
        <v>225547.47</v>
      </c>
      <c r="CD27" s="8">
        <v>7.0650293827444299</v>
      </c>
      <c r="CE27" s="7">
        <v>18786.6733333333</v>
      </c>
      <c r="CF27" s="7">
        <v>1.7335764000152301</v>
      </c>
      <c r="CG27" s="8">
        <v>1041443.92</v>
      </c>
      <c r="CH27" s="8">
        <v>6.1132228753331797</v>
      </c>
      <c r="CI27" s="7">
        <v>100854.516666667</v>
      </c>
      <c r="CJ27" s="7">
        <v>0.48363713036399703</v>
      </c>
      <c r="CK27" s="8">
        <v>526634.13333333295</v>
      </c>
      <c r="CL27" s="8">
        <v>7.7517819488830497</v>
      </c>
      <c r="CM27" s="7">
        <v>643921.17666666699</v>
      </c>
      <c r="CN27" s="7">
        <v>1.06777398725478</v>
      </c>
    </row>
    <row r="28" spans="1:92" x14ac:dyDescent="0.35">
      <c r="A28" s="4"/>
      <c r="B28" s="4" t="b">
        <v>0</v>
      </c>
      <c r="C28" s="4" t="s">
        <v>97</v>
      </c>
      <c r="D28" s="5">
        <v>46212.534456018497</v>
      </c>
      <c r="E28" s="6" t="s">
        <v>30</v>
      </c>
      <c r="F28" s="7"/>
      <c r="G28" s="4" t="s">
        <v>13</v>
      </c>
      <c r="H28" t="s">
        <v>171</v>
      </c>
      <c r="I28" s="8">
        <v>1951155.63</v>
      </c>
      <c r="J28" s="8">
        <v>0.60889690309732603</v>
      </c>
      <c r="K28" s="8">
        <v>7302.6635602976203</v>
      </c>
      <c r="L28" s="8">
        <v>44.509197159666101</v>
      </c>
      <c r="M28" s="7">
        <v>139388.91</v>
      </c>
      <c r="N28" s="7">
        <v>1.1159917408773701</v>
      </c>
      <c r="O28" s="7">
        <v>1031.8570318146401</v>
      </c>
      <c r="P28" s="7">
        <v>11.534077289011099</v>
      </c>
      <c r="Q28" s="8">
        <v>86438.366666666698</v>
      </c>
      <c r="R28" s="8">
        <v>0.87441227271892097</v>
      </c>
      <c r="S28" s="8">
        <v>2060.8406144861101</v>
      </c>
      <c r="T28" s="8">
        <v>18.024766908416101</v>
      </c>
      <c r="U28" s="7">
        <v>11585.07</v>
      </c>
      <c r="V28" s="7">
        <v>1.08769737550092</v>
      </c>
      <c r="W28" s="7">
        <v>108.680676893073</v>
      </c>
      <c r="X28" s="7">
        <v>1.7943989593807099</v>
      </c>
      <c r="Y28" s="8">
        <v>1274.7333333333299</v>
      </c>
      <c r="Z28" s="8">
        <v>5.5027025285088804</v>
      </c>
      <c r="AA28" s="8">
        <v>720.388828603158</v>
      </c>
      <c r="AB28" s="8">
        <v>40.4888090795857</v>
      </c>
      <c r="AC28" s="7">
        <v>22306.87</v>
      </c>
      <c r="AD28" s="7">
        <v>1.6887897107555301</v>
      </c>
      <c r="AE28" s="7">
        <v>1202.59302741426</v>
      </c>
      <c r="AF28" s="7">
        <v>21.533359417218399</v>
      </c>
      <c r="AG28" s="8">
        <v>175493.56</v>
      </c>
      <c r="AH28" s="8">
        <v>0.41213727301208802</v>
      </c>
      <c r="AI28" s="8">
        <v>91.859890618905098</v>
      </c>
      <c r="AJ28" s="8">
        <v>0.37880852921507802</v>
      </c>
      <c r="AK28" s="7">
        <v>15569.71</v>
      </c>
      <c r="AL28" s="7">
        <v>1.99602592490653</v>
      </c>
      <c r="AM28" s="7">
        <v>16.331409375683901</v>
      </c>
      <c r="AN28" s="7">
        <v>0.35881753448595399</v>
      </c>
      <c r="AO28" s="8">
        <v>10439655.33</v>
      </c>
      <c r="AP28" s="8">
        <v>0.90413431470640804</v>
      </c>
      <c r="AQ28" s="8">
        <v>1881.7231889643199</v>
      </c>
      <c r="AR28" s="8">
        <v>17.016255863377999</v>
      </c>
      <c r="AS28" s="7">
        <v>1875.43</v>
      </c>
      <c r="AT28" s="7">
        <v>5.8618139385769696</v>
      </c>
      <c r="AU28" s="7">
        <v>0.51766551103256497</v>
      </c>
      <c r="AV28" s="7">
        <v>3.0644537121141902E-2</v>
      </c>
      <c r="AW28" s="8">
        <v>18831.9633333333</v>
      </c>
      <c r="AX28" s="8">
        <v>1.90439810694195</v>
      </c>
      <c r="AY28" s="8">
        <v>18.3068964769305</v>
      </c>
      <c r="AZ28" s="8">
        <v>0.34916207246188002</v>
      </c>
      <c r="BA28" s="7">
        <v>22611166.826666702</v>
      </c>
      <c r="BB28" s="7">
        <v>0.89986009241667297</v>
      </c>
      <c r="BC28" s="7">
        <v>7891.8417474681401</v>
      </c>
      <c r="BD28" s="7">
        <v>71.015958893287902</v>
      </c>
      <c r="BE28" s="8">
        <v>24001.79</v>
      </c>
      <c r="BF28" s="8">
        <v>0.35205227577245102</v>
      </c>
      <c r="BG28" s="8">
        <v>57.937022082761601</v>
      </c>
      <c r="BH28" s="8">
        <v>0.209952384631061</v>
      </c>
      <c r="BI28" s="7">
        <v>196.87333333333299</v>
      </c>
      <c r="BJ28" s="7">
        <v>11.7421208789166</v>
      </c>
      <c r="BK28" s="7">
        <v>0.41647975376032698</v>
      </c>
      <c r="BL28" s="7">
        <v>5.3432400320445501E-2</v>
      </c>
      <c r="BM28" s="8">
        <v>1856161.1</v>
      </c>
      <c r="BN28" s="8">
        <v>0.65750499858965294</v>
      </c>
      <c r="BO28" s="8">
        <v>357.44550507459502</v>
      </c>
      <c r="BP28" s="8">
        <v>2.35036761453431</v>
      </c>
      <c r="BQ28" s="7">
        <v>56.726666666666702</v>
      </c>
      <c r="BR28" s="7">
        <v>45.277320945315999</v>
      </c>
      <c r="BS28" s="7">
        <v>9.36145326344998E-2</v>
      </c>
      <c r="BT28" s="7">
        <v>4.2386152392380097E-2</v>
      </c>
      <c r="BU28" s="8">
        <v>6263.0333333333301</v>
      </c>
      <c r="BV28" s="8">
        <v>4.4339843460888799</v>
      </c>
      <c r="BW28" s="8">
        <v>15.0379481371283</v>
      </c>
      <c r="BX28" s="8">
        <v>0.66678026637320198</v>
      </c>
      <c r="BY28" s="7">
        <v>10994538.006666699</v>
      </c>
      <c r="BZ28" s="7">
        <v>0.87909617458652201</v>
      </c>
      <c r="CA28" s="7">
        <v>1456.1977866842899</v>
      </c>
      <c r="CB28" s="7">
        <v>12.801569417350301</v>
      </c>
      <c r="CC28" s="8">
        <v>224136.23666666701</v>
      </c>
      <c r="CD28" s="8">
        <v>0.84011181142963298</v>
      </c>
      <c r="CE28" s="7">
        <v>18262.176666666699</v>
      </c>
      <c r="CF28" s="7">
        <v>1.2553850865649701</v>
      </c>
      <c r="CG28" s="8">
        <v>1061723.19666667</v>
      </c>
      <c r="CH28" s="8">
        <v>1.03612474463096</v>
      </c>
      <c r="CI28" s="7">
        <v>101499.836666667</v>
      </c>
      <c r="CJ28" s="7">
        <v>1.45061770107704</v>
      </c>
      <c r="CK28" s="8">
        <v>526600.70666666701</v>
      </c>
      <c r="CL28" s="8">
        <v>0.264245467591252</v>
      </c>
      <c r="CM28" s="7">
        <v>654424.19333333301</v>
      </c>
      <c r="CN28" s="7">
        <v>0.17603376467869</v>
      </c>
    </row>
    <row r="29" spans="1:92" x14ac:dyDescent="0.35">
      <c r="A29" s="4"/>
      <c r="B29" s="4" t="b">
        <v>0</v>
      </c>
      <c r="C29" s="4" t="s">
        <v>107</v>
      </c>
      <c r="D29" s="5">
        <v>46212.537557870397</v>
      </c>
      <c r="E29" s="6" t="s">
        <v>30</v>
      </c>
      <c r="F29" s="7"/>
      <c r="G29" s="4" t="s">
        <v>149</v>
      </c>
      <c r="H29" t="s">
        <v>172</v>
      </c>
      <c r="I29" s="8">
        <v>966697.29</v>
      </c>
      <c r="J29" s="8">
        <v>1.2331335858186301</v>
      </c>
      <c r="K29" s="8">
        <v>3614.4893505192899</v>
      </c>
      <c r="L29" s="8">
        <v>44.659587939029798</v>
      </c>
      <c r="M29" s="7">
        <v>126168.63</v>
      </c>
      <c r="N29" s="7">
        <v>0.62531180545012999</v>
      </c>
      <c r="O29" s="7">
        <v>933.83260575172699</v>
      </c>
      <c r="P29" s="7">
        <v>5.8498087799652998</v>
      </c>
      <c r="Q29" s="8">
        <v>28037.29</v>
      </c>
      <c r="R29" s="8">
        <v>2.5347337148178601</v>
      </c>
      <c r="S29" s="8">
        <v>668.10810023924205</v>
      </c>
      <c r="T29" s="8">
        <v>16.947874371777001</v>
      </c>
      <c r="U29" s="7">
        <v>13963.01</v>
      </c>
      <c r="V29" s="7">
        <v>2.6935427693421499</v>
      </c>
      <c r="W29" s="7">
        <v>142.54271999446499</v>
      </c>
      <c r="X29" s="7">
        <v>5.3556870363893703</v>
      </c>
      <c r="Y29" s="8">
        <v>714.1</v>
      </c>
      <c r="Z29" s="8">
        <v>3.59655731531234</v>
      </c>
      <c r="AA29" s="8">
        <v>396.78135691358398</v>
      </c>
      <c r="AB29" s="8">
        <v>14.8246907748296</v>
      </c>
      <c r="AC29" s="7">
        <v>13022.846666666699</v>
      </c>
      <c r="AD29" s="7">
        <v>2.2607335697127202</v>
      </c>
      <c r="AE29" s="7">
        <v>671.91170580169296</v>
      </c>
      <c r="AF29" s="7">
        <v>16.8287899233442</v>
      </c>
      <c r="AG29" s="8">
        <v>140906.27666666699</v>
      </c>
      <c r="AH29" s="8">
        <v>1.3600167630551001</v>
      </c>
      <c r="AI29" s="8">
        <v>73.745108141414605</v>
      </c>
      <c r="AJ29" s="8">
        <v>1.0036707607544499</v>
      </c>
      <c r="AK29" s="7">
        <v>5942.4666666666699</v>
      </c>
      <c r="AL29" s="7">
        <v>1.8132681334788401</v>
      </c>
      <c r="AM29" s="7">
        <v>5.2159118721738702</v>
      </c>
      <c r="AN29" s="7">
        <v>0.12441012891351499</v>
      </c>
      <c r="AO29" s="8">
        <v>4254592.83</v>
      </c>
      <c r="AP29" s="8">
        <v>0.26318246958597002</v>
      </c>
      <c r="AQ29" s="8">
        <v>766.68693830679695</v>
      </c>
      <c r="AR29" s="8">
        <v>2.01864456137357</v>
      </c>
      <c r="AS29" s="7">
        <v>1623.46</v>
      </c>
      <c r="AT29" s="7">
        <v>4.8197408486089302</v>
      </c>
      <c r="AU29" s="7">
        <v>0.44742801611320698</v>
      </c>
      <c r="AV29" s="7">
        <v>2.1811496194987099E-2</v>
      </c>
      <c r="AW29" s="8">
        <v>12379.92</v>
      </c>
      <c r="AX29" s="8">
        <v>0.50599761598874105</v>
      </c>
      <c r="AY29" s="8">
        <v>12.0252860742415</v>
      </c>
      <c r="AZ29" s="8">
        <v>6.0987387569773198E-2</v>
      </c>
      <c r="BA29" s="7">
        <v>770029.316666667</v>
      </c>
      <c r="BB29" s="7">
        <v>1.2925251139192999</v>
      </c>
      <c r="BC29" s="7">
        <v>268.713213237547</v>
      </c>
      <c r="BD29" s="7">
        <v>3.4737954310059602</v>
      </c>
      <c r="BE29" s="8">
        <v>13460.4433333333</v>
      </c>
      <c r="BF29" s="8">
        <v>4.4023819405492999</v>
      </c>
      <c r="BG29" s="8">
        <v>31.7451753969554</v>
      </c>
      <c r="BH29" s="8">
        <v>1.47237049602459</v>
      </c>
      <c r="BI29" s="7">
        <v>81.753333333333302</v>
      </c>
      <c r="BJ29" s="7">
        <v>9.3556282964896802</v>
      </c>
      <c r="BK29" s="7">
        <v>0.15039375450276701</v>
      </c>
      <c r="BL29" s="7">
        <v>1.7678673323827301E-2</v>
      </c>
      <c r="BM29" s="8">
        <v>296608.08333333302</v>
      </c>
      <c r="BN29" s="8">
        <v>0.66339822501301504</v>
      </c>
      <c r="BO29" s="8">
        <v>57.099948078680299</v>
      </c>
      <c r="BP29" s="8">
        <v>0.37894689805541198</v>
      </c>
      <c r="BQ29" s="7">
        <v>56.726666666666702</v>
      </c>
      <c r="BR29" s="7">
        <v>35.6570475199199</v>
      </c>
      <c r="BS29" s="7">
        <v>9.36145326344998E-2</v>
      </c>
      <c r="BT29" s="7">
        <v>3.3380178387034498E-2</v>
      </c>
      <c r="BU29" s="8">
        <v>2668.07</v>
      </c>
      <c r="BV29" s="8">
        <v>0.93775650563839896</v>
      </c>
      <c r="BW29" s="8">
        <v>6.4062086453679798</v>
      </c>
      <c r="BX29" s="8">
        <v>6.0074638336694998E-2</v>
      </c>
      <c r="BY29" s="7">
        <v>5406815.94666667</v>
      </c>
      <c r="BZ29" s="7">
        <v>1.11713921084581</v>
      </c>
      <c r="CA29" s="7">
        <v>716.10761635409096</v>
      </c>
      <c r="CB29" s="7">
        <v>8.0001609057624705</v>
      </c>
      <c r="CC29" s="8">
        <v>224195.01</v>
      </c>
      <c r="CD29" s="8">
        <v>0.13601694666522601</v>
      </c>
      <c r="CE29" s="7">
        <v>17590.833333333299</v>
      </c>
      <c r="CF29" s="7">
        <v>6.3312809620033796</v>
      </c>
      <c r="CG29" s="8">
        <v>1057764.8899999999</v>
      </c>
      <c r="CH29" s="8">
        <v>0.86251710273497895</v>
      </c>
      <c r="CI29" s="7">
        <v>95916.4</v>
      </c>
      <c r="CJ29" s="7">
        <v>6.5009646522648898</v>
      </c>
      <c r="CK29" s="8">
        <v>529048.39666666696</v>
      </c>
      <c r="CL29" s="8">
        <v>0.505118669751069</v>
      </c>
      <c r="CM29" s="7">
        <v>623439.06000000006</v>
      </c>
      <c r="CN29" s="7">
        <v>6.4765598560119901</v>
      </c>
    </row>
    <row r="30" spans="1:92" x14ac:dyDescent="0.35">
      <c r="A30" s="4"/>
      <c r="B30" s="4" t="b">
        <v>0</v>
      </c>
      <c r="C30" s="4" t="s">
        <v>37</v>
      </c>
      <c r="D30" s="5">
        <v>46212.540567129603</v>
      </c>
      <c r="E30" s="6" t="s">
        <v>30</v>
      </c>
      <c r="F30" s="7"/>
      <c r="G30" s="4" t="s">
        <v>120</v>
      </c>
      <c r="H30" t="s">
        <v>173</v>
      </c>
      <c r="I30" s="8">
        <v>1028119.37333333</v>
      </c>
      <c r="J30" s="8">
        <v>0.61522825372850298</v>
      </c>
      <c r="K30" s="8">
        <v>3844.60101137521</v>
      </c>
      <c r="L30" s="8">
        <v>23.6970289291311</v>
      </c>
      <c r="M30" s="7">
        <v>127657.103333333</v>
      </c>
      <c r="N30" s="7">
        <v>0.23859119226335601</v>
      </c>
      <c r="O30" s="7">
        <v>944.86919077185905</v>
      </c>
      <c r="P30" s="7">
        <v>2.25835934882641</v>
      </c>
      <c r="Q30" s="8">
        <v>26653.383333333299</v>
      </c>
      <c r="R30" s="8">
        <v>0.79064631825354503</v>
      </c>
      <c r="S30" s="8">
        <v>635.10508177862903</v>
      </c>
      <c r="T30" s="8">
        <v>5.0255252483717703</v>
      </c>
      <c r="U30" s="7">
        <v>14064.803333333301</v>
      </c>
      <c r="V30" s="7">
        <v>0.39058436445778499</v>
      </c>
      <c r="W30" s="7">
        <v>143.99226465949801</v>
      </c>
      <c r="X30" s="7">
        <v>0.78227740003121704</v>
      </c>
      <c r="Y30" s="8">
        <v>590.63333333333298</v>
      </c>
      <c r="Z30" s="8">
        <v>0.84739559215960403</v>
      </c>
      <c r="AA30" s="8">
        <v>325.514214090694</v>
      </c>
      <c r="AB30" s="8">
        <v>2.88897496618823</v>
      </c>
      <c r="AC30" s="7">
        <v>10955.75</v>
      </c>
      <c r="AD30" s="7">
        <v>4.4124747736880199</v>
      </c>
      <c r="AE30" s="7">
        <v>553.75500244345801</v>
      </c>
      <c r="AF30" s="7">
        <v>27.6326112873512</v>
      </c>
      <c r="AG30" s="8">
        <v>106190.766666667</v>
      </c>
      <c r="AH30" s="8">
        <v>0.62154779688536199</v>
      </c>
      <c r="AI30" s="8">
        <v>55.563168086033599</v>
      </c>
      <c r="AJ30" s="8">
        <v>0.34568294999250798</v>
      </c>
      <c r="AK30" s="7">
        <v>5211.4333333333298</v>
      </c>
      <c r="AL30" s="7">
        <v>2.54730337279172</v>
      </c>
      <c r="AM30" s="7">
        <v>4.3718697190567299</v>
      </c>
      <c r="AN30" s="7">
        <v>0.15327270203403501</v>
      </c>
      <c r="AO30" s="8">
        <v>3602362.94</v>
      </c>
      <c r="AP30" s="8">
        <v>0.34846540658972303</v>
      </c>
      <c r="AQ30" s="8">
        <v>649.10365259022296</v>
      </c>
      <c r="AR30" s="8">
        <v>2.26303896146071</v>
      </c>
      <c r="AS30" s="7">
        <v>937.69</v>
      </c>
      <c r="AT30" s="7">
        <v>7.4800486855274304</v>
      </c>
      <c r="AU30" s="7">
        <v>0.25626729503193502</v>
      </c>
      <c r="AV30" s="7">
        <v>1.9551671275434199E-2</v>
      </c>
      <c r="AW30" s="8">
        <v>6019.2533333333304</v>
      </c>
      <c r="AX30" s="8">
        <v>1.54602618922165</v>
      </c>
      <c r="AY30" s="8">
        <v>5.8326385923268997</v>
      </c>
      <c r="AZ30" s="8">
        <v>9.0601041473623301E-2</v>
      </c>
      <c r="BA30" s="7">
        <v>712905.03</v>
      </c>
      <c r="BB30" s="7">
        <v>1.0516646378132499</v>
      </c>
      <c r="BC30" s="7">
        <v>248.775342351158</v>
      </c>
      <c r="BD30" s="7">
        <v>2.6167783581653499</v>
      </c>
      <c r="BE30" s="8">
        <v>15140.4533333333</v>
      </c>
      <c r="BF30" s="8">
        <v>4.2823459623995399</v>
      </c>
      <c r="BG30" s="8">
        <v>35.919458412403898</v>
      </c>
      <c r="BH30" s="8">
        <v>1.6109818708266299</v>
      </c>
      <c r="BI30" s="7">
        <v>65.066666666666706</v>
      </c>
      <c r="BJ30" s="7">
        <v>7.6921119351959302</v>
      </c>
      <c r="BK30" s="7">
        <v>0.111824536519117</v>
      </c>
      <c r="BL30" s="7">
        <v>1.1568455939896499E-2</v>
      </c>
      <c r="BM30" s="8">
        <v>289244.95</v>
      </c>
      <c r="BN30" s="8">
        <v>0.58150817350795503</v>
      </c>
      <c r="BO30" s="8">
        <v>55.681923581531798</v>
      </c>
      <c r="BP30" s="8">
        <v>0.32392366486989699</v>
      </c>
      <c r="BQ30" s="7">
        <v>33.369999999999997</v>
      </c>
      <c r="BR30" s="7">
        <v>43.288294081883201</v>
      </c>
      <c r="BS30" s="7">
        <v>5.5069637219648498E-2</v>
      </c>
      <c r="BT30" s="7">
        <v>2.3838706509467698E-2</v>
      </c>
      <c r="BU30" s="8">
        <v>2803.25</v>
      </c>
      <c r="BV30" s="8">
        <v>7.27483440510591</v>
      </c>
      <c r="BW30" s="8">
        <v>6.7307845690434602</v>
      </c>
      <c r="BX30" s="8">
        <v>0.489653431562319</v>
      </c>
      <c r="BY30" s="7">
        <v>5042245.0366666699</v>
      </c>
      <c r="BZ30" s="7">
        <v>1.5359569729395599</v>
      </c>
      <c r="CA30" s="7">
        <v>667.820435284219</v>
      </c>
      <c r="CB30" s="7">
        <v>10.257767174709899</v>
      </c>
      <c r="CC30" s="8">
        <v>218324.933333333</v>
      </c>
      <c r="CD30" s="8">
        <v>0.45714639602684198</v>
      </c>
      <c r="CE30" s="7">
        <v>18131.8733333333</v>
      </c>
      <c r="CF30" s="7">
        <v>1.8845497846669199</v>
      </c>
      <c r="CG30" s="8">
        <v>1048644.3366666699</v>
      </c>
      <c r="CH30" s="8">
        <v>0.52374007926142796</v>
      </c>
      <c r="CI30" s="7">
        <v>100822.64333333301</v>
      </c>
      <c r="CJ30" s="7">
        <v>1.4154082762718101</v>
      </c>
      <c r="CK30" s="8">
        <v>518672.35333333298</v>
      </c>
      <c r="CL30" s="8">
        <v>0.72876140211472495</v>
      </c>
      <c r="CM30" s="7">
        <v>651434.99333333306</v>
      </c>
      <c r="CN30" s="7">
        <v>1.1107215918889499</v>
      </c>
    </row>
    <row r="31" spans="1:92" x14ac:dyDescent="0.35">
      <c r="A31" s="4"/>
      <c r="B31" s="4" t="b">
        <v>0</v>
      </c>
      <c r="C31" s="4" t="s">
        <v>23</v>
      </c>
      <c r="D31" s="5">
        <v>46212.543692129599</v>
      </c>
      <c r="E31" s="6" t="s">
        <v>30</v>
      </c>
      <c r="F31" s="7"/>
      <c r="G31" s="4" t="s">
        <v>26</v>
      </c>
      <c r="H31" t="s">
        <v>174</v>
      </c>
      <c r="I31" s="8">
        <v>1011204.14666667</v>
      </c>
      <c r="J31" s="8">
        <v>1.1024283288866501</v>
      </c>
      <c r="K31" s="8">
        <v>3781.2298150434699</v>
      </c>
      <c r="L31" s="8">
        <v>41.764115741470597</v>
      </c>
      <c r="M31" s="7">
        <v>113524.87</v>
      </c>
      <c r="N31" s="7">
        <v>1.17132013641872</v>
      </c>
      <c r="O31" s="7">
        <v>840.08290322824098</v>
      </c>
      <c r="P31" s="7">
        <v>9.8596222769697004</v>
      </c>
      <c r="Q31" s="8">
        <v>290475.14333333302</v>
      </c>
      <c r="R31" s="8">
        <v>0.55788345788494398</v>
      </c>
      <c r="S31" s="8">
        <v>6926.6524999027397</v>
      </c>
      <c r="T31" s="8">
        <v>38.645534616877001</v>
      </c>
      <c r="U31" s="7">
        <v>14674.39</v>
      </c>
      <c r="V31" s="7">
        <v>1.3592237242671299</v>
      </c>
      <c r="W31" s="7">
        <v>152.67282429544301</v>
      </c>
      <c r="X31" s="7">
        <v>2.8402938219987699</v>
      </c>
      <c r="Y31" s="8">
        <v>834.23666666666702</v>
      </c>
      <c r="Z31" s="8">
        <v>7.2083223303028099</v>
      </c>
      <c r="AA31" s="8">
        <v>466.12636486390102</v>
      </c>
      <c r="AB31" s="8">
        <v>34.710678034102003</v>
      </c>
      <c r="AC31" s="7">
        <v>15728.2866666667</v>
      </c>
      <c r="AD31" s="7">
        <v>2.2347590138651401</v>
      </c>
      <c r="AE31" s="7">
        <v>826.55656430702197</v>
      </c>
      <c r="AF31" s="7">
        <v>20.091376517217999</v>
      </c>
      <c r="AG31" s="8">
        <v>103636.2</v>
      </c>
      <c r="AH31" s="8">
        <v>1.3781515783729299</v>
      </c>
      <c r="AI31" s="8">
        <v>54.225236481376001</v>
      </c>
      <c r="AJ31" s="8">
        <v>0.748040546919019</v>
      </c>
      <c r="AK31" s="7">
        <v>5810.6066666666702</v>
      </c>
      <c r="AL31" s="7">
        <v>3.7929651378609099</v>
      </c>
      <c r="AM31" s="7">
        <v>5.0636679275611796</v>
      </c>
      <c r="AN31" s="7">
        <v>0.25446454833607801</v>
      </c>
      <c r="AO31" s="8">
        <v>3653519.85</v>
      </c>
      <c r="AP31" s="8">
        <v>0.24015063794350999</v>
      </c>
      <c r="AQ31" s="8">
        <v>658.32616394263505</v>
      </c>
      <c r="AR31" s="8">
        <v>1.58175825715191</v>
      </c>
      <c r="AS31" s="7">
        <v>1256.37666666667</v>
      </c>
      <c r="AT31" s="7">
        <v>5.3904023040000597</v>
      </c>
      <c r="AU31" s="7">
        <v>0.34510228781229402</v>
      </c>
      <c r="AV31" s="7">
        <v>1.8878227659010201E-2</v>
      </c>
      <c r="AW31" s="8">
        <v>4270.13666666667</v>
      </c>
      <c r="AX31" s="8">
        <v>10.320150599965199</v>
      </c>
      <c r="AY31" s="8">
        <v>4.1297254404442603</v>
      </c>
      <c r="AZ31" s="8">
        <v>0.42904370216411702</v>
      </c>
      <c r="BA31" s="7">
        <v>747530.2</v>
      </c>
      <c r="BB31" s="7">
        <v>1.2287027985242001</v>
      </c>
      <c r="BC31" s="7">
        <v>260.86043275950999</v>
      </c>
      <c r="BD31" s="7">
        <v>3.2057789989722099</v>
      </c>
      <c r="BE31" s="8">
        <v>11438.2366666667</v>
      </c>
      <c r="BF31" s="8">
        <v>3.2910045616959498</v>
      </c>
      <c r="BG31" s="8">
        <v>26.720644029646099</v>
      </c>
      <c r="BH31" s="8">
        <v>0.93531432621027299</v>
      </c>
      <c r="BI31" s="7">
        <v>482.18</v>
      </c>
      <c r="BJ31" s="7">
        <v>3.6448234116404299</v>
      </c>
      <c r="BK31" s="7">
        <v>1.0759317125411101</v>
      </c>
      <c r="BL31" s="7">
        <v>4.0621590838709497E-2</v>
      </c>
      <c r="BM31" s="8">
        <v>208466.19</v>
      </c>
      <c r="BN31" s="8">
        <v>1.8069194102010999</v>
      </c>
      <c r="BO31" s="8">
        <v>40.125195848418201</v>
      </c>
      <c r="BP31" s="8">
        <v>0.72542994870583</v>
      </c>
      <c r="BQ31" s="7">
        <v>71.739999999999995</v>
      </c>
      <c r="BR31" s="7">
        <v>4.0319554622808296</v>
      </c>
      <c r="BS31" s="7">
        <v>0.11839064351626</v>
      </c>
      <c r="BT31" s="7">
        <v>4.7734580180823199E-3</v>
      </c>
      <c r="BU31" s="8">
        <v>2871.65</v>
      </c>
      <c r="BV31" s="8">
        <v>4.1483221299443001</v>
      </c>
      <c r="BW31" s="8">
        <v>6.8950173932733998</v>
      </c>
      <c r="BX31" s="8">
        <v>0.28602753238870199</v>
      </c>
      <c r="BY31" s="7">
        <v>5289982.92</v>
      </c>
      <c r="BZ31" s="7">
        <v>0.392520220280899</v>
      </c>
      <c r="CA31" s="7">
        <v>700.63315758941701</v>
      </c>
      <c r="CB31" s="7">
        <v>2.75021181906643</v>
      </c>
      <c r="CC31" s="8">
        <v>214752.82</v>
      </c>
      <c r="CD31" s="8">
        <v>0.471716753863826</v>
      </c>
      <c r="CE31" s="7">
        <v>18604.599999999999</v>
      </c>
      <c r="CF31" s="7">
        <v>2.1787602883696402</v>
      </c>
      <c r="CG31" s="8">
        <v>1018100.0966666701</v>
      </c>
      <c r="CH31" s="8">
        <v>0.23135604927477199</v>
      </c>
      <c r="CI31" s="7">
        <v>101345.05</v>
      </c>
      <c r="CJ31" s="7">
        <v>1.51619544536911</v>
      </c>
      <c r="CK31" s="8">
        <v>523210.373333333</v>
      </c>
      <c r="CL31" s="8">
        <v>0.33212324826377498</v>
      </c>
      <c r="CM31" s="7">
        <v>644409.42000000004</v>
      </c>
      <c r="CN31" s="7">
        <v>0.22354864345068701</v>
      </c>
    </row>
    <row r="32" spans="1:92" x14ac:dyDescent="0.35">
      <c r="A32" s="4"/>
      <c r="B32" s="4" t="b">
        <v>0</v>
      </c>
      <c r="C32" s="4" t="s">
        <v>60</v>
      </c>
      <c r="D32" s="5">
        <v>46212.546689814801</v>
      </c>
      <c r="E32" s="6" t="s">
        <v>30</v>
      </c>
      <c r="F32" s="7"/>
      <c r="G32" s="4" t="s">
        <v>139</v>
      </c>
      <c r="H32" t="s">
        <v>175</v>
      </c>
      <c r="I32" s="8">
        <v>3625019.9433333301</v>
      </c>
      <c r="J32" s="8">
        <v>0.27069928449063702</v>
      </c>
      <c r="K32" s="8">
        <v>13573.6279477843</v>
      </c>
      <c r="L32" s="8">
        <v>36.763054849075203</v>
      </c>
      <c r="M32" s="7">
        <v>147473.34</v>
      </c>
      <c r="N32" s="7">
        <v>0.81854141894631605</v>
      </c>
      <c r="O32" s="7">
        <v>1091.8006646874501</v>
      </c>
      <c r="P32" s="7">
        <v>8.9505110090693893</v>
      </c>
      <c r="Q32" s="8">
        <v>274693.34333333297</v>
      </c>
      <c r="R32" s="8">
        <v>0.64396657781494004</v>
      </c>
      <c r="S32" s="8">
        <v>6550.2925550545597</v>
      </c>
      <c r="T32" s="8">
        <v>42.1850262780261</v>
      </c>
      <c r="U32" s="7">
        <v>13031.063333333301</v>
      </c>
      <c r="V32" s="7">
        <v>1.0615303484602601</v>
      </c>
      <c r="W32" s="7">
        <v>129.27172989594899</v>
      </c>
      <c r="X32" s="7">
        <v>1.9698108997791199</v>
      </c>
      <c r="Y32" s="8">
        <v>1710.2433333333299</v>
      </c>
      <c r="Z32" s="8">
        <v>2.9458907324099499</v>
      </c>
      <c r="AA32" s="8">
        <v>971.77290018088502</v>
      </c>
      <c r="AB32" s="8">
        <v>29.0813233225538</v>
      </c>
      <c r="AC32" s="7">
        <v>29888.386666666702</v>
      </c>
      <c r="AD32" s="7">
        <v>1.01586297463619</v>
      </c>
      <c r="AE32" s="7">
        <v>1635.9578672083301</v>
      </c>
      <c r="AF32" s="7">
        <v>17.355422220925998</v>
      </c>
      <c r="AG32" s="8">
        <v>182144.42666666699</v>
      </c>
      <c r="AH32" s="8">
        <v>0.61334092082319602</v>
      </c>
      <c r="AI32" s="8">
        <v>95.343222969478703</v>
      </c>
      <c r="AJ32" s="8">
        <v>0.58510593007964995</v>
      </c>
      <c r="AK32" s="7">
        <v>17021.163333333301</v>
      </c>
      <c r="AL32" s="7">
        <v>3.1325759243350602</v>
      </c>
      <c r="AM32" s="7">
        <v>18.0072396569511</v>
      </c>
      <c r="AN32" s="7">
        <v>0.61562720234267199</v>
      </c>
      <c r="AO32" s="8">
        <v>11628583.483333301</v>
      </c>
      <c r="AP32" s="8">
        <v>0.225727935340197</v>
      </c>
      <c r="AQ32" s="8">
        <v>2096.0618460747301</v>
      </c>
      <c r="AR32" s="8">
        <v>4.7321338321877304</v>
      </c>
      <c r="AS32" s="7">
        <v>1828.7166666666701</v>
      </c>
      <c r="AT32" s="7">
        <v>5.6385990804571398</v>
      </c>
      <c r="AU32" s="7">
        <v>0.50464401040683105</v>
      </c>
      <c r="AV32" s="7">
        <v>2.8743378703598801E-2</v>
      </c>
      <c r="AW32" s="8">
        <v>11309.58</v>
      </c>
      <c r="AX32" s="8">
        <v>3.3481770956604402</v>
      </c>
      <c r="AY32" s="8">
        <v>10.983219471297501</v>
      </c>
      <c r="AZ32" s="8">
        <v>0.36866220788259702</v>
      </c>
      <c r="BA32" s="7">
        <v>33514970.4533333</v>
      </c>
      <c r="BB32" s="7">
        <v>0.58390674217726501</v>
      </c>
      <c r="BC32" s="7">
        <v>11697.554546081899</v>
      </c>
      <c r="BD32" s="7">
        <v>68.303085084522905</v>
      </c>
      <c r="BE32" s="8">
        <v>63913.766666666699</v>
      </c>
      <c r="BF32" s="8">
        <v>0.66584863178338705</v>
      </c>
      <c r="BG32" s="8">
        <v>157.10541174273001</v>
      </c>
      <c r="BH32" s="8">
        <v>1.0574015641441901</v>
      </c>
      <c r="BI32" s="7">
        <v>560.60666666666702</v>
      </c>
      <c r="BJ32" s="7">
        <v>5.5765694994018897</v>
      </c>
      <c r="BK32" s="7">
        <v>1.2572054961446499</v>
      </c>
      <c r="BL32" s="7">
        <v>7.2259777489041194E-2</v>
      </c>
      <c r="BM32" s="8">
        <v>2411697.9733333299</v>
      </c>
      <c r="BN32" s="8">
        <v>0.72373366007347795</v>
      </c>
      <c r="BO32" s="8">
        <v>464.43323160260701</v>
      </c>
      <c r="BP32" s="8">
        <v>3.3614198381187901</v>
      </c>
      <c r="BQ32" s="7">
        <v>51.72</v>
      </c>
      <c r="BR32" s="7">
        <v>31.105543877556102</v>
      </c>
      <c r="BS32" s="7">
        <v>8.5352161732101306E-2</v>
      </c>
      <c r="BT32" s="7">
        <v>2.65492541180215E-2</v>
      </c>
      <c r="BU32" s="8">
        <v>9698.65333333333</v>
      </c>
      <c r="BV32" s="8">
        <v>2.1474534754335401</v>
      </c>
      <c r="BW32" s="8">
        <v>23.287093978953699</v>
      </c>
      <c r="BX32" s="8">
        <v>0.500079508978721</v>
      </c>
      <c r="BY32" s="7">
        <v>12680907.7533333</v>
      </c>
      <c r="BZ32" s="7">
        <v>0.646890992567976</v>
      </c>
      <c r="CA32" s="7">
        <v>1679.5563681686001</v>
      </c>
      <c r="CB32" s="7">
        <v>10.8650389538378</v>
      </c>
      <c r="CC32" s="8">
        <v>223700.11</v>
      </c>
      <c r="CD32" s="8">
        <v>0.591023102373605</v>
      </c>
      <c r="CE32" s="7">
        <v>18763.276666666701</v>
      </c>
      <c r="CF32" s="7">
        <v>1.11996308511086</v>
      </c>
      <c r="CG32" s="8">
        <v>1045782.84333333</v>
      </c>
      <c r="CH32" s="8">
        <v>0.85133695221352401</v>
      </c>
      <c r="CI32" s="7">
        <v>102614.14</v>
      </c>
      <c r="CJ32" s="7">
        <v>2.25599446345189</v>
      </c>
      <c r="CK32" s="8">
        <v>517952.686666667</v>
      </c>
      <c r="CL32" s="8">
        <v>0.33839024730801698</v>
      </c>
      <c r="CM32" s="7">
        <v>648979.79</v>
      </c>
      <c r="CN32" s="7">
        <v>0.91444305894462297</v>
      </c>
    </row>
    <row r="33" spans="1:92" x14ac:dyDescent="0.35">
      <c r="A33" s="4"/>
      <c r="B33" s="4" t="b">
        <v>0</v>
      </c>
      <c r="C33" s="4" t="s">
        <v>29</v>
      </c>
      <c r="D33" s="5">
        <v>46212.549791666701</v>
      </c>
      <c r="E33" s="6" t="s">
        <v>30</v>
      </c>
      <c r="F33" s="7"/>
      <c r="G33" s="4" t="s">
        <v>89</v>
      </c>
      <c r="H33" t="s">
        <v>176</v>
      </c>
      <c r="I33" s="8">
        <v>1613919.69666667</v>
      </c>
      <c r="J33" s="8">
        <v>0.72450265517032597</v>
      </c>
      <c r="K33" s="8">
        <v>6039.24303614367</v>
      </c>
      <c r="L33" s="8">
        <v>43.806240927976503</v>
      </c>
      <c r="M33" s="7">
        <v>124233.343333333</v>
      </c>
      <c r="N33" s="7">
        <v>0.89775150355681999</v>
      </c>
      <c r="O33" s="7">
        <v>919.48303336996196</v>
      </c>
      <c r="P33" s="7">
        <v>8.2696659908750796</v>
      </c>
      <c r="Q33" s="8">
        <v>142311.873333333</v>
      </c>
      <c r="R33" s="8">
        <v>1.07540315603131</v>
      </c>
      <c r="S33" s="8">
        <v>3393.2963475166498</v>
      </c>
      <c r="T33" s="8">
        <v>36.497179468174501</v>
      </c>
      <c r="U33" s="7">
        <v>12214.553333333301</v>
      </c>
      <c r="V33" s="7">
        <v>1.07924657362899</v>
      </c>
      <c r="W33" s="7">
        <v>117.64456654753999</v>
      </c>
      <c r="X33" s="7">
        <v>1.87719995237085</v>
      </c>
      <c r="Y33" s="8">
        <v>1571.7433333333299</v>
      </c>
      <c r="Z33" s="8">
        <v>3.03832151344209</v>
      </c>
      <c r="AA33" s="8">
        <v>891.828251576914</v>
      </c>
      <c r="AB33" s="8">
        <v>27.564808534047302</v>
      </c>
      <c r="AC33" s="7">
        <v>27153.506666666701</v>
      </c>
      <c r="AD33" s="7">
        <v>1.3409526405041701</v>
      </c>
      <c r="AE33" s="7">
        <v>1479.6301975394199</v>
      </c>
      <c r="AF33" s="7">
        <v>20.813108195790001</v>
      </c>
      <c r="AG33" s="8">
        <v>224416.98333333299</v>
      </c>
      <c r="AH33" s="8">
        <v>0.58952610767552405</v>
      </c>
      <c r="AI33" s="8">
        <v>117.483099102683</v>
      </c>
      <c r="AJ33" s="8">
        <v>0.692907775709936</v>
      </c>
      <c r="AK33" s="7">
        <v>11912.403333333301</v>
      </c>
      <c r="AL33" s="7">
        <v>0.81130108410202895</v>
      </c>
      <c r="AM33" s="7">
        <v>12.108727792249899</v>
      </c>
      <c r="AN33" s="7">
        <v>0.11158566404777299</v>
      </c>
      <c r="AO33" s="8">
        <v>5841883.9166666698</v>
      </c>
      <c r="AP33" s="8">
        <v>1.8853305427545799</v>
      </c>
      <c r="AQ33" s="8">
        <v>1052.8420259843899</v>
      </c>
      <c r="AR33" s="8">
        <v>19.855705396589599</v>
      </c>
      <c r="AS33" s="7">
        <v>4400.2866666666696</v>
      </c>
      <c r="AT33" s="7">
        <v>6.5132245240507203</v>
      </c>
      <c r="AU33" s="7">
        <v>1.2214778986069099</v>
      </c>
      <c r="AV33" s="7">
        <v>7.9890878659012704E-2</v>
      </c>
      <c r="AW33" s="8">
        <v>40098.8733333333</v>
      </c>
      <c r="AX33" s="8">
        <v>0.39365676181762599</v>
      </c>
      <c r="AY33" s="8">
        <v>39.012033777989799</v>
      </c>
      <c r="AZ33" s="8">
        <v>0.15368221368666601</v>
      </c>
      <c r="BA33" s="7">
        <v>1593331.57</v>
      </c>
      <c r="BB33" s="7">
        <v>1.0312278314423</v>
      </c>
      <c r="BC33" s="7">
        <v>556.06724398837798</v>
      </c>
      <c r="BD33" s="7">
        <v>5.73480659686133</v>
      </c>
      <c r="BE33" s="8">
        <v>15803.583333333299</v>
      </c>
      <c r="BF33" s="8">
        <v>3.77159882759564</v>
      </c>
      <c r="BG33" s="8">
        <v>37.567122590613799</v>
      </c>
      <c r="BH33" s="8">
        <v>1.4809864563211901</v>
      </c>
      <c r="BI33" s="7">
        <v>342.03333333333302</v>
      </c>
      <c r="BJ33" s="7">
        <v>10.3830233185125</v>
      </c>
      <c r="BK33" s="7">
        <v>0.75199959090615198</v>
      </c>
      <c r="BL33" s="7">
        <v>8.20849437759123E-2</v>
      </c>
      <c r="BM33" s="8">
        <v>664308.10666666704</v>
      </c>
      <c r="BN33" s="8">
        <v>1.62499272669079</v>
      </c>
      <c r="BO33" s="8">
        <v>127.913230561058</v>
      </c>
      <c r="BP33" s="8">
        <v>2.0789404166437802</v>
      </c>
      <c r="BQ33" s="7">
        <v>66.736666666666693</v>
      </c>
      <c r="BR33" s="7">
        <v>11.4591372011764</v>
      </c>
      <c r="BS33" s="7">
        <v>0.11013377352657901</v>
      </c>
      <c r="BT33" s="7">
        <v>1.26203802132435E-2</v>
      </c>
      <c r="BU33" s="8">
        <v>6358.15333333333</v>
      </c>
      <c r="BV33" s="8">
        <v>1.31519999931293</v>
      </c>
      <c r="BW33" s="8">
        <v>15.2663374096539</v>
      </c>
      <c r="BX33" s="8">
        <v>0.200782869506866</v>
      </c>
      <c r="BY33" s="7">
        <v>7053875.2933333302</v>
      </c>
      <c r="BZ33" s="7">
        <v>0.35164695693265202</v>
      </c>
      <c r="CA33" s="7">
        <v>934.25956080110495</v>
      </c>
      <c r="CB33" s="7">
        <v>3.2853714693336702</v>
      </c>
      <c r="CC33" s="8">
        <v>229908.12</v>
      </c>
      <c r="CD33" s="8">
        <v>11.166066067348501</v>
      </c>
      <c r="CE33" s="7">
        <v>18240.45</v>
      </c>
      <c r="CF33" s="7">
        <v>2.1120606091209599</v>
      </c>
      <c r="CG33" s="8">
        <v>1057377.9099999999</v>
      </c>
      <c r="CH33" s="8">
        <v>10.5518278515801</v>
      </c>
      <c r="CI33" s="7">
        <v>98338.933333333305</v>
      </c>
      <c r="CJ33" s="7">
        <v>2.09831141584554</v>
      </c>
      <c r="CK33" s="8">
        <v>544159.23</v>
      </c>
      <c r="CL33" s="8">
        <v>12.0226662254691</v>
      </c>
      <c r="CM33" s="7">
        <v>641551.71666666702</v>
      </c>
      <c r="CN33" s="7">
        <v>0.84622119018066599</v>
      </c>
    </row>
    <row r="34" spans="1:92" x14ac:dyDescent="0.35">
      <c r="A34" s="4"/>
      <c r="B34" s="4" t="b">
        <v>0</v>
      </c>
      <c r="C34" s="4" t="s">
        <v>125</v>
      </c>
      <c r="D34" s="5">
        <v>46212.5528009259</v>
      </c>
      <c r="E34" s="6" t="s">
        <v>30</v>
      </c>
      <c r="F34" s="7"/>
      <c r="G34" s="4" t="s">
        <v>152</v>
      </c>
      <c r="H34" t="s">
        <v>177</v>
      </c>
      <c r="I34" s="8">
        <v>1504981.2566666701</v>
      </c>
      <c r="J34" s="8">
        <v>0.96872422686096304</v>
      </c>
      <c r="K34" s="8">
        <v>5631.11612153855</v>
      </c>
      <c r="L34" s="8">
        <v>54.6192002066784</v>
      </c>
      <c r="M34" s="7">
        <v>112937.97</v>
      </c>
      <c r="N34" s="7">
        <v>0.51816449580046697</v>
      </c>
      <c r="O34" s="7">
        <v>835.731215090295</v>
      </c>
      <c r="P34" s="7">
        <v>4.3391162363683602</v>
      </c>
      <c r="Q34" s="8">
        <v>86893.440000000002</v>
      </c>
      <c r="R34" s="8">
        <v>1.45776529934013</v>
      </c>
      <c r="S34" s="8">
        <v>2071.6930758425601</v>
      </c>
      <c r="T34" s="8">
        <v>30.2079643209828</v>
      </c>
      <c r="U34" s="7">
        <v>12682.12</v>
      </c>
      <c r="V34" s="7">
        <v>1.5978760629865401</v>
      </c>
      <c r="W34" s="7">
        <v>124.302750782399</v>
      </c>
      <c r="X34" s="7">
        <v>2.8856736573780299</v>
      </c>
      <c r="Y34" s="8">
        <v>1770.3</v>
      </c>
      <c r="Z34" s="8">
        <v>0.58816777000128495</v>
      </c>
      <c r="AA34" s="8">
        <v>1006.43866994978</v>
      </c>
      <c r="AB34" s="8">
        <v>6.0101832877783101</v>
      </c>
      <c r="AC34" s="7">
        <v>32322.6933333333</v>
      </c>
      <c r="AD34" s="7">
        <v>0.70727592554526098</v>
      </c>
      <c r="AE34" s="7">
        <v>1775.1045531541399</v>
      </c>
      <c r="AF34" s="7">
        <v>13.067544756884301</v>
      </c>
      <c r="AG34" s="8">
        <v>276481.54666666698</v>
      </c>
      <c r="AH34" s="8">
        <v>0.98277587896694796</v>
      </c>
      <c r="AI34" s="8">
        <v>144.751451765117</v>
      </c>
      <c r="AJ34" s="8">
        <v>1.4231062002385599</v>
      </c>
      <c r="AK34" s="7">
        <v>14940.0233333333</v>
      </c>
      <c r="AL34" s="7">
        <v>2.8516413442461799</v>
      </c>
      <c r="AM34" s="7">
        <v>15.6043808453992</v>
      </c>
      <c r="AN34" s="7">
        <v>0.49189582325735598</v>
      </c>
      <c r="AO34" s="8">
        <v>9338685.0199999996</v>
      </c>
      <c r="AP34" s="8">
        <v>0.84127875493002902</v>
      </c>
      <c r="AQ34" s="8">
        <v>1683.2414749076399</v>
      </c>
      <c r="AR34" s="8">
        <v>14.163498586391601</v>
      </c>
      <c r="AS34" s="7">
        <v>5244.79</v>
      </c>
      <c r="AT34" s="7">
        <v>2.3466405358889699</v>
      </c>
      <c r="AU34" s="7">
        <v>1.4568860765026199</v>
      </c>
      <c r="AV34" s="7">
        <v>3.43079564372097E-2</v>
      </c>
      <c r="AW34" s="8">
        <v>55031.5</v>
      </c>
      <c r="AX34" s="8">
        <v>0.52120008557340702</v>
      </c>
      <c r="AY34" s="8">
        <v>53.550210005697103</v>
      </c>
      <c r="AZ34" s="8">
        <v>0.27924766511905302</v>
      </c>
      <c r="BA34" s="7">
        <v>11134851.1266667</v>
      </c>
      <c r="BB34" s="7">
        <v>1.25731644643019</v>
      </c>
      <c r="BC34" s="7">
        <v>3886.3072536509999</v>
      </c>
      <c r="BD34" s="7">
        <v>48.863773317052797</v>
      </c>
      <c r="BE34" s="8">
        <v>16972.723333333299</v>
      </c>
      <c r="BF34" s="8">
        <v>4.93498069130725</v>
      </c>
      <c r="BG34" s="8">
        <v>40.472058421163297</v>
      </c>
      <c r="BH34" s="8">
        <v>2.0811673971150699</v>
      </c>
      <c r="BI34" s="7">
        <v>223.57333333333301</v>
      </c>
      <c r="BJ34" s="7">
        <v>9.3227044904749494</v>
      </c>
      <c r="BK34" s="7">
        <v>0.47819358437339898</v>
      </c>
      <c r="BL34" s="7">
        <v>4.8176268980445199E-2</v>
      </c>
      <c r="BM34" s="8">
        <v>1289343</v>
      </c>
      <c r="BN34" s="8">
        <v>1.30265150436604</v>
      </c>
      <c r="BO34" s="8">
        <v>248.28519045846599</v>
      </c>
      <c r="BP34" s="8">
        <v>3.23457913571412</v>
      </c>
      <c r="BQ34" s="7">
        <v>86.76</v>
      </c>
      <c r="BR34" s="7">
        <v>3.3339382764408798</v>
      </c>
      <c r="BS34" s="7">
        <v>0.14317775622345499</v>
      </c>
      <c r="BT34" s="7">
        <v>4.7734580180826798E-3</v>
      </c>
      <c r="BU34" s="8">
        <v>5854.0833333333303</v>
      </c>
      <c r="BV34" s="8">
        <v>0.89027962796844695</v>
      </c>
      <c r="BW34" s="8">
        <v>14.0560327355371</v>
      </c>
      <c r="BX34" s="8">
        <v>0.12513799594491901</v>
      </c>
      <c r="BY34" s="7">
        <v>9163863.6466666702</v>
      </c>
      <c r="BZ34" s="7">
        <v>0.97478830823042895</v>
      </c>
      <c r="CA34" s="7">
        <v>1213.72615256161</v>
      </c>
      <c r="CB34" s="7">
        <v>11.831471732692901</v>
      </c>
      <c r="CC34" s="8">
        <v>224113.13333333301</v>
      </c>
      <c r="CD34" s="8">
        <v>0.59592762815857003</v>
      </c>
      <c r="CE34" s="7">
        <v>18355.906666666699</v>
      </c>
      <c r="CF34" s="7">
        <v>1.7754121166299199</v>
      </c>
      <c r="CG34" s="8">
        <v>1041133.5333333299</v>
      </c>
      <c r="CH34" s="8">
        <v>1.0105640829515401</v>
      </c>
      <c r="CI34" s="7">
        <v>98571.653333333306</v>
      </c>
      <c r="CJ34" s="7">
        <v>1.1300337774790501</v>
      </c>
      <c r="CK34" s="8">
        <v>524442.63666666695</v>
      </c>
      <c r="CL34" s="8">
        <v>0.77241025784252904</v>
      </c>
      <c r="CM34" s="7">
        <v>651132.183333333</v>
      </c>
      <c r="CN34" s="7">
        <v>0.863005563575163</v>
      </c>
    </row>
    <row r="35" spans="1:92" x14ac:dyDescent="0.35">
      <c r="A35" s="4"/>
      <c r="B35" s="4" t="b">
        <v>0</v>
      </c>
      <c r="C35" s="4" t="s">
        <v>75</v>
      </c>
      <c r="D35" s="5">
        <v>46212.555891203701</v>
      </c>
      <c r="E35" s="6" t="s">
        <v>30</v>
      </c>
      <c r="F35" s="7"/>
      <c r="G35" s="4" t="s">
        <v>153</v>
      </c>
      <c r="H35" t="s">
        <v>178</v>
      </c>
      <c r="I35" s="8">
        <v>6482521.46</v>
      </c>
      <c r="J35" s="8">
        <v>1.3278116755488301</v>
      </c>
      <c r="K35" s="8">
        <v>24278.970134404899</v>
      </c>
      <c r="L35" s="8">
        <v>322.47387057694402</v>
      </c>
      <c r="M35" s="7">
        <v>193278.7</v>
      </c>
      <c r="N35" s="7">
        <v>0.65009904481356096</v>
      </c>
      <c r="O35" s="7">
        <v>1431.43372273199</v>
      </c>
      <c r="P35" s="7">
        <v>9.3165941802499592</v>
      </c>
      <c r="Q35" s="8">
        <v>151417.48666666701</v>
      </c>
      <c r="R35" s="8">
        <v>0.951780416246511</v>
      </c>
      <c r="S35" s="8">
        <v>3610.4444631905499</v>
      </c>
      <c r="T35" s="8">
        <v>34.368427247963197</v>
      </c>
      <c r="U35" s="7">
        <v>15479.3866666667</v>
      </c>
      <c r="V35" s="7">
        <v>1.82879029368865</v>
      </c>
      <c r="W35" s="7">
        <v>164.136036917773</v>
      </c>
      <c r="X35" s="7">
        <v>4.0311589482924202</v>
      </c>
      <c r="Y35" s="8">
        <v>1166.2766666666701</v>
      </c>
      <c r="Z35" s="8">
        <v>6.6077213514114401</v>
      </c>
      <c r="AA35" s="8">
        <v>657.78572314882797</v>
      </c>
      <c r="AB35" s="8">
        <v>44.482883525760101</v>
      </c>
      <c r="AC35" s="7">
        <v>20768.133333333299</v>
      </c>
      <c r="AD35" s="7">
        <v>1.40144307595319</v>
      </c>
      <c r="AE35" s="7">
        <v>1114.63775430023</v>
      </c>
      <c r="AF35" s="7">
        <v>16.6368271427507</v>
      </c>
      <c r="AG35" s="8">
        <v>167947.76333333299</v>
      </c>
      <c r="AH35" s="8">
        <v>1.0868263014569799</v>
      </c>
      <c r="AI35" s="8">
        <v>87.907846628670498</v>
      </c>
      <c r="AJ35" s="8">
        <v>0.955984907920303</v>
      </c>
      <c r="AK35" s="7">
        <v>35483.526666666701</v>
      </c>
      <c r="AL35" s="7">
        <v>1.10752053067582</v>
      </c>
      <c r="AM35" s="7">
        <v>39.323658743400799</v>
      </c>
      <c r="AN35" s="7">
        <v>0.45373838356584301</v>
      </c>
      <c r="AO35" s="8">
        <v>27104449.120000001</v>
      </c>
      <c r="AP35" s="8">
        <v>0.39597068953404702</v>
      </c>
      <c r="AQ35" s="8">
        <v>4886.0338463881199</v>
      </c>
      <c r="AR35" s="8">
        <v>19.348554233773999</v>
      </c>
      <c r="AS35" s="7">
        <v>2345.9933333333302</v>
      </c>
      <c r="AT35" s="7">
        <v>7.9104791312263796</v>
      </c>
      <c r="AU35" s="7">
        <v>0.64883664146172804</v>
      </c>
      <c r="AV35" s="7">
        <v>5.1730865014560798E-2</v>
      </c>
      <c r="AW35" s="8">
        <v>14814.74</v>
      </c>
      <c r="AX35" s="8">
        <v>2.25593924135207</v>
      </c>
      <c r="AY35" s="8">
        <v>14.3957894714612</v>
      </c>
      <c r="AZ35" s="8">
        <v>0.32538322124676999</v>
      </c>
      <c r="BA35" s="7">
        <v>113170239.583333</v>
      </c>
      <c r="BB35" s="7">
        <v>0.834564183902746</v>
      </c>
      <c r="BC35" s="7">
        <v>39499.327907414503</v>
      </c>
      <c r="BD35" s="7">
        <v>329.64763724850002</v>
      </c>
      <c r="BE35" s="8">
        <v>68777.573333333305</v>
      </c>
      <c r="BF35" s="8">
        <v>1.5205124134064101</v>
      </c>
      <c r="BG35" s="8">
        <v>169.190402641053</v>
      </c>
      <c r="BH35" s="8">
        <v>2.5984049965029401</v>
      </c>
      <c r="BI35" s="7">
        <v>303.65333333333302</v>
      </c>
      <c r="BJ35" s="7">
        <v>10.9755705041587</v>
      </c>
      <c r="BK35" s="7">
        <v>0.66328884862414095</v>
      </c>
      <c r="BL35" s="7">
        <v>7.7032926939664098E-2</v>
      </c>
      <c r="BM35" s="8">
        <v>6164468.9133333303</v>
      </c>
      <c r="BN35" s="8">
        <v>0.74086132359099099</v>
      </c>
      <c r="BO35" s="8">
        <v>1187.1583112933699</v>
      </c>
      <c r="BP35" s="8">
        <v>8.7953607821954201</v>
      </c>
      <c r="BQ35" s="7">
        <v>30.033333333333299</v>
      </c>
      <c r="BR35" s="7">
        <v>28.854697693239601</v>
      </c>
      <c r="BS35" s="7">
        <v>4.9563223588955402E-2</v>
      </c>
      <c r="BT35" s="7">
        <v>1.43013183336175E-2</v>
      </c>
      <c r="BU35" s="8">
        <v>11974.4566666667</v>
      </c>
      <c r="BV35" s="8">
        <v>2.3875618634903799</v>
      </c>
      <c r="BW35" s="8">
        <v>28.7514449851706</v>
      </c>
      <c r="BX35" s="8">
        <v>0.68645853566817605</v>
      </c>
      <c r="BY35" s="7">
        <v>27185564.606666699</v>
      </c>
      <c r="BZ35" s="7">
        <v>0.624704535820645</v>
      </c>
      <c r="CA35" s="7">
        <v>3600.68878060726</v>
      </c>
      <c r="CB35" s="7">
        <v>22.493801421512501</v>
      </c>
      <c r="CC35" s="8">
        <v>205478.92333333299</v>
      </c>
      <c r="CD35" s="8">
        <v>6.2705520140725701</v>
      </c>
      <c r="CE35" s="7">
        <v>18319.016666666699</v>
      </c>
      <c r="CF35" s="7">
        <v>2.0025391110405599</v>
      </c>
      <c r="CG35" s="8">
        <v>967861.13666666695</v>
      </c>
      <c r="CH35" s="8">
        <v>5.8200563435472104</v>
      </c>
      <c r="CI35" s="7">
        <v>100912.80333333299</v>
      </c>
      <c r="CJ35" s="7">
        <v>0.88364048473980095</v>
      </c>
      <c r="CK35" s="8">
        <v>467985.17</v>
      </c>
      <c r="CL35" s="8">
        <v>8.0182012103978106</v>
      </c>
      <c r="CM35" s="7">
        <v>634352.66333333298</v>
      </c>
      <c r="CN35" s="7">
        <v>0.66497840230746597</v>
      </c>
    </row>
    <row r="36" spans="1:92" x14ac:dyDescent="0.35">
      <c r="A36" s="4"/>
      <c r="B36" s="4" t="b">
        <v>0</v>
      </c>
      <c r="C36" s="4" t="s">
        <v>19</v>
      </c>
      <c r="D36" s="5">
        <v>46212.558877314797</v>
      </c>
      <c r="E36" s="6" t="s">
        <v>30</v>
      </c>
      <c r="F36" s="7"/>
      <c r="G36" s="4" t="s">
        <v>52</v>
      </c>
      <c r="H36" t="s">
        <v>179</v>
      </c>
      <c r="I36" s="8">
        <v>4985043.9833333297</v>
      </c>
      <c r="J36" s="8">
        <v>1.2176766611212499</v>
      </c>
      <c r="K36" s="8">
        <v>18668.8212994975</v>
      </c>
      <c r="L36" s="8">
        <v>227.41288129503801</v>
      </c>
      <c r="M36" s="7">
        <v>195795.21666666699</v>
      </c>
      <c r="N36" s="7">
        <v>1.00204392461818</v>
      </c>
      <c r="O36" s="7">
        <v>1450.0929418958599</v>
      </c>
      <c r="P36" s="7">
        <v>14.547303233894899</v>
      </c>
      <c r="Q36" s="8">
        <v>139488.72333333301</v>
      </c>
      <c r="R36" s="8">
        <v>0.29800052225332402</v>
      </c>
      <c r="S36" s="8">
        <v>3325.9706572723098</v>
      </c>
      <c r="T36" s="8">
        <v>9.9129515941206208</v>
      </c>
      <c r="U36" s="7">
        <v>17129.63</v>
      </c>
      <c r="V36" s="7">
        <v>0.312956635496069</v>
      </c>
      <c r="W36" s="7">
        <v>187.63562516689601</v>
      </c>
      <c r="X36" s="7">
        <v>0.76338638898535005</v>
      </c>
      <c r="Y36" s="8">
        <v>1251.37333333333</v>
      </c>
      <c r="Z36" s="8">
        <v>5.4111276205737102</v>
      </c>
      <c r="AA36" s="8">
        <v>706.90502361118104</v>
      </c>
      <c r="AB36" s="8">
        <v>39.0853762776336</v>
      </c>
      <c r="AC36" s="7">
        <v>21641.9866666667</v>
      </c>
      <c r="AD36" s="7">
        <v>2.8153482019050999</v>
      </c>
      <c r="AE36" s="7">
        <v>1164.58782714891</v>
      </c>
      <c r="AF36" s="7">
        <v>34.827862394382201</v>
      </c>
      <c r="AG36" s="8">
        <v>220117.816666667</v>
      </c>
      <c r="AH36" s="8">
        <v>0.446411442826609</v>
      </c>
      <c r="AI36" s="8">
        <v>115.231448741752</v>
      </c>
      <c r="AJ36" s="8">
        <v>0.51464432306300201</v>
      </c>
      <c r="AK36" s="7">
        <v>27081.81</v>
      </c>
      <c r="AL36" s="7">
        <v>2.4658769505228602</v>
      </c>
      <c r="AM36" s="7">
        <v>29.623139352748101</v>
      </c>
      <c r="AN36" s="7">
        <v>0.77103846520863895</v>
      </c>
      <c r="AO36" s="8">
        <v>18473797.936666701</v>
      </c>
      <c r="AP36" s="8">
        <v>0.61130328810368495</v>
      </c>
      <c r="AQ36" s="8">
        <v>3330.1095632952802</v>
      </c>
      <c r="AR36" s="8">
        <v>20.359064355832999</v>
      </c>
      <c r="AS36" s="7">
        <v>6256.28</v>
      </c>
      <c r="AT36" s="7">
        <v>2.608553572306</v>
      </c>
      <c r="AU36" s="7">
        <v>1.73884235596438</v>
      </c>
      <c r="AV36" s="7">
        <v>4.5492113643896097E-2</v>
      </c>
      <c r="AW36" s="8">
        <v>65639.41</v>
      </c>
      <c r="AX36" s="8">
        <v>1.04736767101498</v>
      </c>
      <c r="AY36" s="8">
        <v>63.877908436135797</v>
      </c>
      <c r="AZ36" s="8">
        <v>0.66932578310100499</v>
      </c>
      <c r="BA36" s="7">
        <v>37048024.6366667</v>
      </c>
      <c r="BB36" s="7">
        <v>0.50899933938332897</v>
      </c>
      <c r="BC36" s="7">
        <v>12930.6829097314</v>
      </c>
      <c r="BD36" s="7">
        <v>65.817330675359003</v>
      </c>
      <c r="BE36" s="8">
        <v>38595.0566666667</v>
      </c>
      <c r="BF36" s="8">
        <v>0.944923183293502</v>
      </c>
      <c r="BG36" s="8">
        <v>94.196583148813204</v>
      </c>
      <c r="BH36" s="8">
        <v>0.90614607005168202</v>
      </c>
      <c r="BI36" s="7">
        <v>303.65666666666698</v>
      </c>
      <c r="BJ36" s="7">
        <v>12.1509526715014</v>
      </c>
      <c r="BK36" s="7">
        <v>0.66329655322222003</v>
      </c>
      <c r="BL36" s="7">
        <v>8.5283377676693695E-2</v>
      </c>
      <c r="BM36" s="8">
        <v>6334448.4633333301</v>
      </c>
      <c r="BN36" s="8">
        <v>0.54014911511857799</v>
      </c>
      <c r="BO36" s="8">
        <v>1219.89371821899</v>
      </c>
      <c r="BP36" s="8">
        <v>6.5893646968057498</v>
      </c>
      <c r="BQ36" s="7">
        <v>55.0566666666667</v>
      </c>
      <c r="BR36" s="7">
        <v>27.271902181086698</v>
      </c>
      <c r="BS36" s="7">
        <v>9.0858575362794305E-2</v>
      </c>
      <c r="BT36" s="7">
        <v>2.4778861796070199E-2</v>
      </c>
      <c r="BU36" s="8">
        <v>11642.1266666667</v>
      </c>
      <c r="BV36" s="8">
        <v>0.60301348861845705</v>
      </c>
      <c r="BW36" s="8">
        <v>27.953499159493202</v>
      </c>
      <c r="BX36" s="8">
        <v>0.16856337047327499</v>
      </c>
      <c r="BY36" s="7">
        <v>27859338.149999999</v>
      </c>
      <c r="BZ36" s="7">
        <v>0.94450097344820205</v>
      </c>
      <c r="CA36" s="7">
        <v>3689.9296503382702</v>
      </c>
      <c r="CB36" s="7">
        <v>34.851626011423498</v>
      </c>
      <c r="CC36" s="8">
        <v>228909.77666666699</v>
      </c>
      <c r="CD36" s="8">
        <v>2.78819734313194</v>
      </c>
      <c r="CE36" s="7">
        <v>18577.9633333333</v>
      </c>
      <c r="CF36" s="7">
        <v>2.0221401200912901</v>
      </c>
      <c r="CG36" s="8">
        <v>1155921.2466666701</v>
      </c>
      <c r="CH36" s="8">
        <v>2.61844295195097</v>
      </c>
      <c r="CI36" s="7">
        <v>109219.573333333</v>
      </c>
      <c r="CJ36" s="7">
        <v>2.2097176924601198</v>
      </c>
      <c r="CK36" s="8">
        <v>529994.49</v>
      </c>
      <c r="CL36" s="8">
        <v>3.6207728040106799</v>
      </c>
      <c r="CM36" s="7">
        <v>630973.56999999995</v>
      </c>
      <c r="CN36" s="7">
        <v>1.7092515123946299</v>
      </c>
    </row>
    <row r="37" spans="1:92" x14ac:dyDescent="0.35">
      <c r="A37" s="4"/>
      <c r="B37" s="4" t="b">
        <v>0</v>
      </c>
      <c r="C37" s="4" t="s">
        <v>93</v>
      </c>
      <c r="D37" s="5">
        <v>46212.561979166698</v>
      </c>
      <c r="E37" s="6" t="s">
        <v>30</v>
      </c>
      <c r="F37" s="7"/>
      <c r="G37" s="4" t="s">
        <v>68</v>
      </c>
      <c r="H37" t="s">
        <v>180</v>
      </c>
      <c r="I37" s="8">
        <v>3778154.9233333301</v>
      </c>
      <c r="J37" s="8">
        <v>1.4548864764702401</v>
      </c>
      <c r="K37" s="8">
        <v>14147.3327567161</v>
      </c>
      <c r="L37" s="8">
        <v>205.93158081792501</v>
      </c>
      <c r="M37" s="7">
        <v>148618.42333333299</v>
      </c>
      <c r="N37" s="7">
        <v>0.76659904234521603</v>
      </c>
      <c r="O37" s="7">
        <v>1100.2911154603701</v>
      </c>
      <c r="P37" s="7">
        <v>8.4476240273748804</v>
      </c>
      <c r="Q37" s="8">
        <v>135379.243333333</v>
      </c>
      <c r="R37" s="8">
        <v>0.71786460654176898</v>
      </c>
      <c r="S37" s="8">
        <v>3227.96892957619</v>
      </c>
      <c r="T37" s="8">
        <v>23.176160231497001</v>
      </c>
      <c r="U37" s="7">
        <v>13834.35</v>
      </c>
      <c r="V37" s="7">
        <v>2.88443230000837</v>
      </c>
      <c r="W37" s="7">
        <v>140.710591990636</v>
      </c>
      <c r="X37" s="7">
        <v>5.6823944154569004</v>
      </c>
      <c r="Y37" s="8">
        <v>1029.46</v>
      </c>
      <c r="Z37" s="8">
        <v>3.5172492738979</v>
      </c>
      <c r="AA37" s="8">
        <v>578.81272430526701</v>
      </c>
      <c r="AB37" s="8">
        <v>20.900286998776298</v>
      </c>
      <c r="AC37" s="7">
        <v>17340.07</v>
      </c>
      <c r="AD37" s="7">
        <v>4.5909024856157696</v>
      </c>
      <c r="AE37" s="7">
        <v>918.68723640641394</v>
      </c>
      <c r="AF37" s="7">
        <v>45.503677130007802</v>
      </c>
      <c r="AG37" s="8">
        <v>197595.156666667</v>
      </c>
      <c r="AH37" s="8">
        <v>1.0482821247429901</v>
      </c>
      <c r="AI37" s="8">
        <v>103.435405589635</v>
      </c>
      <c r="AJ37" s="8">
        <v>1.08485363200747</v>
      </c>
      <c r="AK37" s="7">
        <v>32842.933333333298</v>
      </c>
      <c r="AL37" s="7">
        <v>2.1129091187915998</v>
      </c>
      <c r="AM37" s="7">
        <v>36.274861949948402</v>
      </c>
      <c r="AN37" s="7">
        <v>0.80121618313551202</v>
      </c>
      <c r="AO37" s="8">
        <v>23085455.266666699</v>
      </c>
      <c r="AP37" s="8">
        <v>1.29664898503783</v>
      </c>
      <c r="AQ37" s="8">
        <v>4161.4940640275599</v>
      </c>
      <c r="AR37" s="8">
        <v>53.964202389718203</v>
      </c>
      <c r="AS37" s="7">
        <v>3213.7366666666699</v>
      </c>
      <c r="AT37" s="7">
        <v>1.8696304738523599</v>
      </c>
      <c r="AU37" s="7">
        <v>0.89072304843996797</v>
      </c>
      <c r="AV37" s="7">
        <v>1.67488982303458E-2</v>
      </c>
      <c r="AW37" s="8">
        <v>21703.91</v>
      </c>
      <c r="AX37" s="8">
        <v>0.14026352426465299</v>
      </c>
      <c r="AY37" s="8">
        <v>21.102979690460501</v>
      </c>
      <c r="AZ37" s="8">
        <v>2.9638515558767901E-2</v>
      </c>
      <c r="BA37" s="7">
        <v>84694670.853333294</v>
      </c>
      <c r="BB37" s="7">
        <v>0.70574656932090596</v>
      </c>
      <c r="BC37" s="7">
        <v>29560.609266285101</v>
      </c>
      <c r="BD37" s="7">
        <v>208.62331865740501</v>
      </c>
      <c r="BE37" s="8">
        <v>80266.603333333303</v>
      </c>
      <c r="BF37" s="8">
        <v>2.5238787684129398</v>
      </c>
      <c r="BG37" s="8">
        <v>197.736936764646</v>
      </c>
      <c r="BH37" s="8">
        <v>5.0335385542268698</v>
      </c>
      <c r="BI37" s="7">
        <v>310.33</v>
      </c>
      <c r="BJ37" s="7">
        <v>14.516804691779599</v>
      </c>
      <c r="BK37" s="7">
        <v>0.67872115857644799</v>
      </c>
      <c r="BL37" s="7">
        <v>0.10412764303816099</v>
      </c>
      <c r="BM37" s="8">
        <v>6634487.05333333</v>
      </c>
      <c r="BN37" s="8">
        <v>1.11455518889565</v>
      </c>
      <c r="BO37" s="8">
        <v>1277.6764652437901</v>
      </c>
      <c r="BP37" s="8">
        <v>14.2406560690265</v>
      </c>
      <c r="BQ37" s="7">
        <v>43.38</v>
      </c>
      <c r="BR37" s="7">
        <v>46.629505015884</v>
      </c>
      <c r="BS37" s="7">
        <v>7.1588878111727594E-2</v>
      </c>
      <c r="BT37" s="7">
        <v>3.3381539509923099E-2</v>
      </c>
      <c r="BU37" s="8">
        <v>11351.6</v>
      </c>
      <c r="BV37" s="8">
        <v>2.2886324301040601</v>
      </c>
      <c r="BW37" s="8">
        <v>27.255925841060801</v>
      </c>
      <c r="BX37" s="8">
        <v>0.62378795792381203</v>
      </c>
      <c r="BY37" s="7">
        <v>29960972.420000002</v>
      </c>
      <c r="BZ37" s="7">
        <v>1.5780136955266499</v>
      </c>
      <c r="CA37" s="7">
        <v>3968.2897491682502</v>
      </c>
      <c r="CB37" s="7">
        <v>62.620497460167897</v>
      </c>
      <c r="CC37" s="8">
        <v>223026.35666666701</v>
      </c>
      <c r="CD37" s="8">
        <v>1.3761545766855701</v>
      </c>
      <c r="CE37" s="7">
        <v>18193.753333333301</v>
      </c>
      <c r="CF37" s="7">
        <v>1.0910097690976399</v>
      </c>
      <c r="CG37" s="8">
        <v>1032626.72</v>
      </c>
      <c r="CH37" s="8">
        <v>0.84207103016406104</v>
      </c>
      <c r="CI37" s="7">
        <v>101217.436666667</v>
      </c>
      <c r="CJ37" s="7">
        <v>1.7766818252639001</v>
      </c>
      <c r="CK37" s="8">
        <v>514253.55</v>
      </c>
      <c r="CL37" s="8">
        <v>1.14307184210208</v>
      </c>
      <c r="CM37" s="7">
        <v>638267.38666666695</v>
      </c>
      <c r="CN37" s="7">
        <v>0.72142434681227396</v>
      </c>
    </row>
    <row r="38" spans="1:92" x14ac:dyDescent="0.35">
      <c r="A38" s="4"/>
      <c r="B38" s="4" t="b">
        <v>0</v>
      </c>
      <c r="C38" s="4" t="s">
        <v>131</v>
      </c>
      <c r="D38" s="5">
        <v>46212.564965277801</v>
      </c>
      <c r="E38" s="6" t="s">
        <v>30</v>
      </c>
      <c r="F38" s="7"/>
      <c r="G38" s="4" t="s">
        <v>86</v>
      </c>
      <c r="H38" t="s">
        <v>181</v>
      </c>
      <c r="I38" s="8">
        <v>3764665.86333333</v>
      </c>
      <c r="J38" s="8">
        <v>0.75792667104990397</v>
      </c>
      <c r="K38" s="8">
        <v>14096.7973493913</v>
      </c>
      <c r="L38" s="8">
        <v>106.897539756589</v>
      </c>
      <c r="M38" s="7">
        <v>147575.376666667</v>
      </c>
      <c r="N38" s="7">
        <v>0.49607815832212099</v>
      </c>
      <c r="O38" s="7">
        <v>1092.5572360828701</v>
      </c>
      <c r="P38" s="7">
        <v>5.4282227537234604</v>
      </c>
      <c r="Q38" s="8">
        <v>114247.47</v>
      </c>
      <c r="R38" s="8">
        <v>0.98820545589015696</v>
      </c>
      <c r="S38" s="8">
        <v>2724.0243195648</v>
      </c>
      <c r="T38" s="8">
        <v>26.9240692935225</v>
      </c>
      <c r="U38" s="7">
        <v>16135.7033333333</v>
      </c>
      <c r="V38" s="7">
        <v>1.3738949663211399</v>
      </c>
      <c r="W38" s="7">
        <v>173.48203524188099</v>
      </c>
      <c r="X38" s="7">
        <v>3.1568481979685701</v>
      </c>
      <c r="Y38" s="8">
        <v>917.66333333333296</v>
      </c>
      <c r="Z38" s="8">
        <v>8.3322995367866</v>
      </c>
      <c r="AA38" s="8">
        <v>514.28171180157096</v>
      </c>
      <c r="AB38" s="8">
        <v>44.135482382900598</v>
      </c>
      <c r="AC38" s="7">
        <v>16165.823333333299</v>
      </c>
      <c r="AD38" s="7">
        <v>2.1937090503832399</v>
      </c>
      <c r="AE38" s="7">
        <v>851.56646876158698</v>
      </c>
      <c r="AF38" s="7">
        <v>20.2709654799486</v>
      </c>
      <c r="AG38" s="8">
        <v>135687.14333333299</v>
      </c>
      <c r="AH38" s="8">
        <v>1.96458842972842</v>
      </c>
      <c r="AI38" s="8">
        <v>71.0116334090051</v>
      </c>
      <c r="AJ38" s="8">
        <v>1.3961335159183099</v>
      </c>
      <c r="AK38" s="7">
        <v>26605.51</v>
      </c>
      <c r="AL38" s="7">
        <v>1.64618933020045</v>
      </c>
      <c r="AM38" s="7">
        <v>29.073209193343999</v>
      </c>
      <c r="AN38" s="7">
        <v>0.50568296912987798</v>
      </c>
      <c r="AO38" s="8">
        <v>20810508.526666701</v>
      </c>
      <c r="AP38" s="8">
        <v>1.13849483737435</v>
      </c>
      <c r="AQ38" s="8">
        <v>3751.3691730640298</v>
      </c>
      <c r="AR38" s="8">
        <v>42.712860047798102</v>
      </c>
      <c r="AS38" s="7">
        <v>2674.7333333333299</v>
      </c>
      <c r="AT38" s="7">
        <v>1.4540348488935799</v>
      </c>
      <c r="AU38" s="7">
        <v>0.740474035118869</v>
      </c>
      <c r="AV38" s="7">
        <v>1.0841153238016101E-2</v>
      </c>
      <c r="AW38" s="8">
        <v>15305.936666666699</v>
      </c>
      <c r="AX38" s="8">
        <v>1.15588977043046</v>
      </c>
      <c r="AY38" s="8">
        <v>14.8740110102346</v>
      </c>
      <c r="AZ38" s="8">
        <v>0.17224636034864399</v>
      </c>
      <c r="BA38" s="7">
        <v>40784218.6133333</v>
      </c>
      <c r="BB38" s="7">
        <v>1.0739838651556499</v>
      </c>
      <c r="BC38" s="7">
        <v>14234.7123770569</v>
      </c>
      <c r="BD38" s="7">
        <v>152.87902076358799</v>
      </c>
      <c r="BE38" s="8">
        <v>68745.533333333296</v>
      </c>
      <c r="BF38" s="8">
        <v>1.9209261494903001</v>
      </c>
      <c r="BG38" s="8">
        <v>169.11079357455</v>
      </c>
      <c r="BH38" s="8">
        <v>3.28114314982209</v>
      </c>
      <c r="BI38" s="7">
        <v>263.61</v>
      </c>
      <c r="BJ38" s="7">
        <v>15.3486995428129</v>
      </c>
      <c r="BK38" s="7">
        <v>0.57073351190069099</v>
      </c>
      <c r="BL38" s="7">
        <v>9.3520045316103695E-2</v>
      </c>
      <c r="BM38" s="8">
        <v>8771928.1300000008</v>
      </c>
      <c r="BN38" s="8">
        <v>0.67776670375417203</v>
      </c>
      <c r="BO38" s="8">
        <v>1689.3142382830999</v>
      </c>
      <c r="BP38" s="8">
        <v>11.449759465607199</v>
      </c>
      <c r="BQ38" s="7">
        <v>38.373333333333299</v>
      </c>
      <c r="BR38" s="7">
        <v>41.929798115442402</v>
      </c>
      <c r="BS38" s="7">
        <v>6.33265072093291E-2</v>
      </c>
      <c r="BT38" s="7">
        <v>2.6552676626432702E-2</v>
      </c>
      <c r="BU38" s="8">
        <v>9361.41</v>
      </c>
      <c r="BV38" s="8">
        <v>2.1228254673122802</v>
      </c>
      <c r="BW38" s="8">
        <v>22.477350922140101</v>
      </c>
      <c r="BX38" s="8">
        <v>0.47715492975204699</v>
      </c>
      <c r="BY38" s="7">
        <v>43939538.406666704</v>
      </c>
      <c r="BZ38" s="7">
        <v>0.83381085669959698</v>
      </c>
      <c r="CA38" s="7">
        <v>5819.7417668163898</v>
      </c>
      <c r="CB38" s="7">
        <v>48.525819256509898</v>
      </c>
      <c r="CC38" s="8">
        <v>213877.68</v>
      </c>
      <c r="CD38" s="8">
        <v>2.0988029523090601</v>
      </c>
      <c r="CE38" s="7">
        <v>17908.0133333333</v>
      </c>
      <c r="CF38" s="7">
        <v>0.93261611127879895</v>
      </c>
      <c r="CG38" s="8">
        <v>987583.92333333299</v>
      </c>
      <c r="CH38" s="8">
        <v>2.12725131021601</v>
      </c>
      <c r="CI38" s="7">
        <v>95932.68</v>
      </c>
      <c r="CJ38" s="7">
        <v>0.58705673825733995</v>
      </c>
      <c r="CK38" s="8">
        <v>495914.89</v>
      </c>
      <c r="CL38" s="8">
        <v>2.41432522984084</v>
      </c>
      <c r="CM38" s="7">
        <v>638201.65666666697</v>
      </c>
      <c r="CN38" s="7">
        <v>0.73752923688086602</v>
      </c>
    </row>
    <row r="39" spans="1:92" x14ac:dyDescent="0.35">
      <c r="A39" s="4"/>
      <c r="B39" s="4" t="b">
        <v>0</v>
      </c>
      <c r="C39" s="4" t="s">
        <v>108</v>
      </c>
      <c r="D39" s="5">
        <v>46212.568043981497</v>
      </c>
      <c r="E39" s="6" t="s">
        <v>30</v>
      </c>
      <c r="F39" s="7"/>
      <c r="G39" s="4" t="s">
        <v>33</v>
      </c>
      <c r="H39" t="s">
        <v>182</v>
      </c>
      <c r="I39" s="8">
        <v>4849374.3066666704</v>
      </c>
      <c r="J39" s="8">
        <v>1.4709637777606801</v>
      </c>
      <c r="K39" s="8">
        <v>18160.548493833601</v>
      </c>
      <c r="L39" s="8">
        <v>267.24018864881202</v>
      </c>
      <c r="M39" s="7">
        <v>184227.27</v>
      </c>
      <c r="N39" s="7">
        <v>0.56546762158242203</v>
      </c>
      <c r="O39" s="7">
        <v>1364.32007379274</v>
      </c>
      <c r="P39" s="7">
        <v>7.7242320749851396</v>
      </c>
      <c r="Q39" s="8">
        <v>113844.38666666699</v>
      </c>
      <c r="R39" s="8">
        <v>0.93520505520625796</v>
      </c>
      <c r="S39" s="8">
        <v>2714.4117011624298</v>
      </c>
      <c r="T39" s="8">
        <v>25.390153605780299</v>
      </c>
      <c r="U39" s="7">
        <v>14200.11</v>
      </c>
      <c r="V39" s="7">
        <v>0.83787394379398294</v>
      </c>
      <c r="W39" s="7">
        <v>145.91904169280099</v>
      </c>
      <c r="X39" s="7">
        <v>1.69427014992041</v>
      </c>
      <c r="Y39" s="8">
        <v>1127.9000000000001</v>
      </c>
      <c r="Z39" s="8">
        <v>5.3504674248770998</v>
      </c>
      <c r="AA39" s="8">
        <v>635.63403267042895</v>
      </c>
      <c r="AB39" s="8">
        <v>34.833887545704599</v>
      </c>
      <c r="AC39" s="7">
        <v>20226.823333333301</v>
      </c>
      <c r="AD39" s="7">
        <v>1.3965396013397</v>
      </c>
      <c r="AE39" s="7">
        <v>1083.69609292259</v>
      </c>
      <c r="AF39" s="7">
        <v>16.146504404116499</v>
      </c>
      <c r="AG39" s="8">
        <v>146335.243333333</v>
      </c>
      <c r="AH39" s="8">
        <v>0.61067362125107905</v>
      </c>
      <c r="AI39" s="8">
        <v>76.588481218635593</v>
      </c>
      <c r="AJ39" s="8">
        <v>0.46803115834064302</v>
      </c>
      <c r="AK39" s="7">
        <v>25141.3966666667</v>
      </c>
      <c r="AL39" s="7">
        <v>2.46311317221818</v>
      </c>
      <c r="AM39" s="7">
        <v>27.382761830787501</v>
      </c>
      <c r="AN39" s="7">
        <v>0.71499124412352699</v>
      </c>
      <c r="AO39" s="8">
        <v>19353822.303333301</v>
      </c>
      <c r="AP39" s="8">
        <v>1.18536269472253</v>
      </c>
      <c r="AQ39" s="8">
        <v>3488.7593862025301</v>
      </c>
      <c r="AR39" s="8">
        <v>41.358320915962203</v>
      </c>
      <c r="AS39" s="7">
        <v>2272.57666666667</v>
      </c>
      <c r="AT39" s="7">
        <v>4.8011130956573602</v>
      </c>
      <c r="AU39" s="7">
        <v>0.62837149580154605</v>
      </c>
      <c r="AV39" s="7">
        <v>3.0414498329553102E-2</v>
      </c>
      <c r="AW39" s="8">
        <v>14108.3433333333</v>
      </c>
      <c r="AX39" s="8">
        <v>1.83557620427074</v>
      </c>
      <c r="AY39" s="8">
        <v>13.708052514266001</v>
      </c>
      <c r="AZ39" s="8">
        <v>0.25212862798294899</v>
      </c>
      <c r="BA39" s="7">
        <v>34144466.18</v>
      </c>
      <c r="BB39" s="7">
        <v>0.78823756595991001</v>
      </c>
      <c r="BC39" s="7">
        <v>11917.265027458199</v>
      </c>
      <c r="BD39" s="7">
        <v>93.936731581390802</v>
      </c>
      <c r="BE39" s="8">
        <v>51756.506666666697</v>
      </c>
      <c r="BF39" s="8">
        <v>1.8529277942338001</v>
      </c>
      <c r="BG39" s="8">
        <v>126.89854158577199</v>
      </c>
      <c r="BH39" s="8">
        <v>2.3828322840842402</v>
      </c>
      <c r="BI39" s="7">
        <v>266.95</v>
      </c>
      <c r="BJ39" s="7">
        <v>14.3204724284339</v>
      </c>
      <c r="BK39" s="7">
        <v>0.57845351917588395</v>
      </c>
      <c r="BL39" s="7">
        <v>8.8360570952098497E-2</v>
      </c>
      <c r="BM39" s="8">
        <v>7319753.8333333302</v>
      </c>
      <c r="BN39" s="8">
        <v>0.65177858145161405</v>
      </c>
      <c r="BO39" s="8">
        <v>1409.6481459307399</v>
      </c>
      <c r="BP39" s="8">
        <v>9.18792897279938</v>
      </c>
      <c r="BQ39" s="7">
        <v>30.033333333333299</v>
      </c>
      <c r="BR39" s="7">
        <v>28.854697693239601</v>
      </c>
      <c r="BS39" s="7">
        <v>4.9563223588955402E-2</v>
      </c>
      <c r="BT39" s="7">
        <v>1.43013183336175E-2</v>
      </c>
      <c r="BU39" s="8">
        <v>9706.93</v>
      </c>
      <c r="BV39" s="8">
        <v>1.53457232830433</v>
      </c>
      <c r="BW39" s="8">
        <v>23.306966790969401</v>
      </c>
      <c r="BX39" s="8">
        <v>0.35766226294096498</v>
      </c>
      <c r="BY39" s="7">
        <v>45943344.643333301</v>
      </c>
      <c r="BZ39" s="7">
        <v>0.78537877226682895</v>
      </c>
      <c r="CA39" s="7">
        <v>6085.1446059481896</v>
      </c>
      <c r="CB39" s="7">
        <v>47.791604081419599</v>
      </c>
      <c r="CC39" s="8">
        <v>211671.18</v>
      </c>
      <c r="CD39" s="8">
        <v>2.8892877403844701</v>
      </c>
      <c r="CE39" s="7">
        <v>17740.9633333333</v>
      </c>
      <c r="CF39" s="7">
        <v>3.23979421859943</v>
      </c>
      <c r="CG39" s="8">
        <v>963726.38666666695</v>
      </c>
      <c r="CH39" s="8">
        <v>2.3835314012928799</v>
      </c>
      <c r="CI39" s="7">
        <v>94329.85</v>
      </c>
      <c r="CJ39" s="7">
        <v>4.4867666104484103</v>
      </c>
      <c r="CK39" s="8">
        <v>491458.88333333301</v>
      </c>
      <c r="CL39" s="8">
        <v>1.2371206850683201</v>
      </c>
      <c r="CM39" s="7">
        <v>620491.16</v>
      </c>
      <c r="CN39" s="7">
        <v>3.6462258747844398</v>
      </c>
    </row>
    <row r="40" spans="1:92" x14ac:dyDescent="0.35">
      <c r="A40" s="4"/>
      <c r="B40" s="4" t="b">
        <v>0</v>
      </c>
      <c r="C40" s="4" t="s">
        <v>143</v>
      </c>
      <c r="D40" s="5">
        <v>46212.5710300926</v>
      </c>
      <c r="E40" s="6" t="s">
        <v>30</v>
      </c>
      <c r="F40" s="7"/>
      <c r="G40" s="4" t="s">
        <v>87</v>
      </c>
      <c r="H40" t="s">
        <v>183</v>
      </c>
      <c r="I40" s="8">
        <v>4541148.28</v>
      </c>
      <c r="J40" s="8">
        <v>1.8836485892877699</v>
      </c>
      <c r="K40" s="8">
        <v>17005.810668833899</v>
      </c>
      <c r="L40" s="8">
        <v>320.46429701928599</v>
      </c>
      <c r="M40" s="7">
        <v>168577.28</v>
      </c>
      <c r="N40" s="7">
        <v>2.85689458730999</v>
      </c>
      <c r="O40" s="7">
        <v>1248.280074062</v>
      </c>
      <c r="P40" s="7">
        <v>35.709758504008803</v>
      </c>
      <c r="Q40" s="8">
        <v>185206.42666666699</v>
      </c>
      <c r="R40" s="8">
        <v>2.4246213636674301</v>
      </c>
      <c r="S40" s="8">
        <v>4416.2336377383599</v>
      </c>
      <c r="T40" s="8">
        <v>107.08948770229399</v>
      </c>
      <c r="U40" s="7">
        <v>14701.1366666667</v>
      </c>
      <c r="V40" s="7">
        <v>3.1104043020583001</v>
      </c>
      <c r="W40" s="7">
        <v>153.053698825282</v>
      </c>
      <c r="X40" s="7">
        <v>6.5114847041432098</v>
      </c>
      <c r="Y40" s="8">
        <v>1007.76333333333</v>
      </c>
      <c r="Z40" s="8">
        <v>9.4034232780677094</v>
      </c>
      <c r="AA40" s="8">
        <v>566.289024720111</v>
      </c>
      <c r="AB40" s="8">
        <v>54.699601561912999</v>
      </c>
      <c r="AC40" s="7">
        <v>20106.566666666698</v>
      </c>
      <c r="AD40" s="7">
        <v>2.8256729381517101</v>
      </c>
      <c r="AE40" s="7">
        <v>1076.82213704074</v>
      </c>
      <c r="AF40" s="7">
        <v>32.475615380836899</v>
      </c>
      <c r="AG40" s="8">
        <v>185379.99</v>
      </c>
      <c r="AH40" s="8">
        <v>2.08173876558185</v>
      </c>
      <c r="AI40" s="8">
        <v>97.037820530397596</v>
      </c>
      <c r="AJ40" s="8">
        <v>2.02118355396333</v>
      </c>
      <c r="AK40" s="7">
        <v>42332.103333333303</v>
      </c>
      <c r="AL40" s="7">
        <v>2.4434801869245502</v>
      </c>
      <c r="AM40" s="7">
        <v>47.230941670108798</v>
      </c>
      <c r="AN40" s="7">
        <v>1.1942785329347201</v>
      </c>
      <c r="AO40" s="8">
        <v>30604920.716666698</v>
      </c>
      <c r="AP40" s="8">
        <v>0.40246741356250698</v>
      </c>
      <c r="AQ40" s="8">
        <v>5517.0950078040796</v>
      </c>
      <c r="AR40" s="8">
        <v>22.205823106035101</v>
      </c>
      <c r="AS40" s="7">
        <v>3857.9166666666702</v>
      </c>
      <c r="AT40" s="7">
        <v>0.54086967615330095</v>
      </c>
      <c r="AU40" s="7">
        <v>1.0702904154961701</v>
      </c>
      <c r="AV40" s="7">
        <v>5.8165525151840803E-3</v>
      </c>
      <c r="AW40" s="8">
        <v>31702.81</v>
      </c>
      <c r="AX40" s="8">
        <v>1.2618109365880099</v>
      </c>
      <c r="AY40" s="8">
        <v>30.837755328273499</v>
      </c>
      <c r="AZ40" s="8">
        <v>0.38946260714233699</v>
      </c>
      <c r="BA40" s="7">
        <v>123371654.81</v>
      </c>
      <c r="BB40" s="7">
        <v>2.1628880119076799</v>
      </c>
      <c r="BC40" s="7">
        <v>43059.888774188599</v>
      </c>
      <c r="BD40" s="7">
        <v>931.33819244091603</v>
      </c>
      <c r="BE40" s="8">
        <v>115363.05666666701</v>
      </c>
      <c r="BF40" s="8">
        <v>2.8637345714476399</v>
      </c>
      <c r="BG40" s="8">
        <v>284.94030403735002</v>
      </c>
      <c r="BH40" s="8">
        <v>8.2086084628687797</v>
      </c>
      <c r="BI40" s="7">
        <v>402.1</v>
      </c>
      <c r="BJ40" s="7">
        <v>23.166085110755901</v>
      </c>
      <c r="BK40" s="7">
        <v>0.89083644829036701</v>
      </c>
      <c r="BL40" s="7">
        <v>0.215306907673225</v>
      </c>
      <c r="BM40" s="8">
        <v>6772515.5466666697</v>
      </c>
      <c r="BN40" s="8">
        <v>0.97918470685810699</v>
      </c>
      <c r="BO40" s="8">
        <v>1304.2585976038199</v>
      </c>
      <c r="BP40" s="8">
        <v>12.7713174871026</v>
      </c>
      <c r="BQ40" s="7">
        <v>63.4</v>
      </c>
      <c r="BR40" s="7">
        <v>36.471416847073399</v>
      </c>
      <c r="BS40" s="7">
        <v>0.10462735989588599</v>
      </c>
      <c r="BT40" s="7">
        <v>3.8159080563716197E-2</v>
      </c>
      <c r="BU40" s="8">
        <v>14519.5366666667</v>
      </c>
      <c r="BV40" s="8">
        <v>5.0584497679437996</v>
      </c>
      <c r="BW40" s="8">
        <v>34.862346685333399</v>
      </c>
      <c r="BX40" s="8">
        <v>1.7634942950041499</v>
      </c>
      <c r="BY40" s="7">
        <v>25980303.969999999</v>
      </c>
      <c r="BZ40" s="7">
        <v>1.8932005234021501</v>
      </c>
      <c r="CA40" s="7">
        <v>3441.0527893563099</v>
      </c>
      <c r="CB40" s="7">
        <v>65.146439416795801</v>
      </c>
      <c r="CC40" s="8">
        <v>221232.98</v>
      </c>
      <c r="CD40" s="8">
        <v>0.32227444488992102</v>
      </c>
      <c r="CE40" s="7">
        <v>16852.5766666667</v>
      </c>
      <c r="CF40" s="7">
        <v>10.174813033747199</v>
      </c>
      <c r="CG40" s="8">
        <v>1026739.71</v>
      </c>
      <c r="CH40" s="8">
        <v>0.157956500561443</v>
      </c>
      <c r="CI40" s="7">
        <v>90312.71</v>
      </c>
      <c r="CJ40" s="7">
        <v>10.335532083749801</v>
      </c>
      <c r="CK40" s="8">
        <v>509244.08666666702</v>
      </c>
      <c r="CL40" s="8">
        <v>0.41311637421688102</v>
      </c>
      <c r="CM40" s="7">
        <v>596391.57333333301</v>
      </c>
      <c r="CN40" s="7">
        <v>11.7977082916742</v>
      </c>
    </row>
    <row r="41" spans="1:92" x14ac:dyDescent="0.35">
      <c r="A41" s="4"/>
      <c r="B41" s="4" t="b">
        <v>0</v>
      </c>
      <c r="C41" s="4" t="s">
        <v>56</v>
      </c>
      <c r="D41" s="5">
        <v>46212.574120370402</v>
      </c>
      <c r="E41" s="6" t="s">
        <v>30</v>
      </c>
      <c r="F41" s="7"/>
      <c r="G41" s="4" t="s">
        <v>53</v>
      </c>
      <c r="H41" t="s">
        <v>184</v>
      </c>
      <c r="I41" s="8">
        <v>4013785.75</v>
      </c>
      <c r="J41" s="8">
        <v>1.4102205462886299</v>
      </c>
      <c r="K41" s="8">
        <v>15030.099962427101</v>
      </c>
      <c r="L41" s="8">
        <v>212.058316234334</v>
      </c>
      <c r="M41" s="7">
        <v>165501.64333333299</v>
      </c>
      <c r="N41" s="7">
        <v>1.11766660608025</v>
      </c>
      <c r="O41" s="7">
        <v>1225.4751471596901</v>
      </c>
      <c r="P41" s="7">
        <v>13.7153924936745</v>
      </c>
      <c r="Q41" s="8">
        <v>1619868.46</v>
      </c>
      <c r="R41" s="8">
        <v>1.2122538253641599</v>
      </c>
      <c r="S41" s="8">
        <v>38629.6518625998</v>
      </c>
      <c r="T41" s="8">
        <v>468.29570386063699</v>
      </c>
      <c r="U41" s="7">
        <v>19787.313333333299</v>
      </c>
      <c r="V41" s="7">
        <v>2.1143349884238201</v>
      </c>
      <c r="W41" s="7">
        <v>225.48123421640199</v>
      </c>
      <c r="X41" s="7">
        <v>5.9576212976859297</v>
      </c>
      <c r="Y41" s="8">
        <v>1249.70333333333</v>
      </c>
      <c r="Z41" s="8">
        <v>11.0015373015395</v>
      </c>
      <c r="AA41" s="8">
        <v>705.94107008649803</v>
      </c>
      <c r="AB41" s="8">
        <v>79.359683725426393</v>
      </c>
      <c r="AC41" s="7">
        <v>21002.083333333299</v>
      </c>
      <c r="AD41" s="7">
        <v>0.61898959839696399</v>
      </c>
      <c r="AE41" s="7">
        <v>1128.01050130157</v>
      </c>
      <c r="AF41" s="7">
        <v>7.4309323442652699</v>
      </c>
      <c r="AG41" s="8">
        <v>216474.36666666699</v>
      </c>
      <c r="AH41" s="8">
        <v>1.35044240135813</v>
      </c>
      <c r="AI41" s="8">
        <v>113.32322416159199</v>
      </c>
      <c r="AJ41" s="8">
        <v>1.5310846943516301</v>
      </c>
      <c r="AK41" s="7">
        <v>35682.629999999997</v>
      </c>
      <c r="AL41" s="7">
        <v>1.36624924648285</v>
      </c>
      <c r="AM41" s="7">
        <v>39.553541018936897</v>
      </c>
      <c r="AN41" s="7">
        <v>0.56287731824628995</v>
      </c>
      <c r="AO41" s="8">
        <v>19132135.213333301</v>
      </c>
      <c r="AP41" s="8">
        <v>0.99082257627709103</v>
      </c>
      <c r="AQ41" s="8">
        <v>3448.79388194889</v>
      </c>
      <c r="AR41" s="8">
        <v>34.174662118519798</v>
      </c>
      <c r="AS41" s="7">
        <v>15808.5433333333</v>
      </c>
      <c r="AT41" s="7">
        <v>4.0268893669754</v>
      </c>
      <c r="AU41" s="7">
        <v>4.4015682651733004</v>
      </c>
      <c r="AV41" s="7">
        <v>0.17745233970683599</v>
      </c>
      <c r="AW41" s="8">
        <v>551484.4</v>
      </c>
      <c r="AX41" s="8">
        <v>1.2093152671763201</v>
      </c>
      <c r="AY41" s="8">
        <v>536.88913691181801</v>
      </c>
      <c r="AZ41" s="8">
        <v>6.4930162420872204</v>
      </c>
      <c r="BA41" s="7">
        <v>12575805.256666699</v>
      </c>
      <c r="BB41" s="7">
        <v>1.2906004997123699</v>
      </c>
      <c r="BC41" s="7">
        <v>4389.2379521959401</v>
      </c>
      <c r="BD41" s="7">
        <v>56.648135702211498</v>
      </c>
      <c r="BE41" s="8">
        <v>114424.72333333299</v>
      </c>
      <c r="BF41" s="8">
        <v>2.22090876686369</v>
      </c>
      <c r="BG41" s="8">
        <v>282.60884833401298</v>
      </c>
      <c r="BH41" s="8">
        <v>6.3142331426953602</v>
      </c>
      <c r="BI41" s="7">
        <v>3832.87</v>
      </c>
      <c r="BJ41" s="7">
        <v>3.5394574063697601</v>
      </c>
      <c r="BK41" s="7">
        <v>8.8206476337738504</v>
      </c>
      <c r="BL41" s="7">
        <v>0.31356820700593602</v>
      </c>
      <c r="BM41" s="8">
        <v>8648218.6266666707</v>
      </c>
      <c r="BN41" s="8">
        <v>0.67915523752810503</v>
      </c>
      <c r="BO41" s="8">
        <v>1665.4897197914099</v>
      </c>
      <c r="BP41" s="8">
        <v>11.311411006557</v>
      </c>
      <c r="BQ41" s="7">
        <v>1443.2633333333299</v>
      </c>
      <c r="BR41" s="7">
        <v>6.20780576568146</v>
      </c>
      <c r="BS41" s="7">
        <v>2.3817796877161301</v>
      </c>
      <c r="BT41" s="7">
        <v>0.14785625677987299</v>
      </c>
      <c r="BU41" s="8">
        <v>21741.54</v>
      </c>
      <c r="BV41" s="8">
        <v>3.13510917420937</v>
      </c>
      <c r="BW41" s="8">
        <v>52.202843820294703</v>
      </c>
      <c r="BX41" s="8">
        <v>1.6366161458080499</v>
      </c>
      <c r="BY41" s="7">
        <v>16020649.6666667</v>
      </c>
      <c r="BZ41" s="7">
        <v>1.4685402737911599</v>
      </c>
      <c r="CA41" s="7">
        <v>2121.9030230231201</v>
      </c>
      <c r="CB41" s="7">
        <v>31.161318496137799</v>
      </c>
      <c r="CC41" s="8">
        <v>215558.17666666699</v>
      </c>
      <c r="CD41" s="8">
        <v>0.895499274084674</v>
      </c>
      <c r="CE41" s="7">
        <v>17941.5</v>
      </c>
      <c r="CF41" s="7">
        <v>3.2343114612394799</v>
      </c>
      <c r="CG41" s="8">
        <v>1001905.04666667</v>
      </c>
      <c r="CH41" s="8">
        <v>0.58707385037694004</v>
      </c>
      <c r="CI41" s="7">
        <v>97897.393333333297</v>
      </c>
      <c r="CJ41" s="7">
        <v>0.15567626687109001</v>
      </c>
      <c r="CK41" s="8">
        <v>496298.15666666703</v>
      </c>
      <c r="CL41" s="8">
        <v>0.96674441848515702</v>
      </c>
      <c r="CM41" s="7">
        <v>636406.22333333304</v>
      </c>
      <c r="CN41" s="7">
        <v>1.1881420224580499</v>
      </c>
    </row>
    <row r="42" spans="1:92" x14ac:dyDescent="0.35">
      <c r="A42" s="4"/>
      <c r="B42" s="4" t="b">
        <v>0</v>
      </c>
      <c r="C42" s="4" t="s">
        <v>18</v>
      </c>
      <c r="D42" s="5">
        <v>46212.577118055597</v>
      </c>
      <c r="E42" s="6" t="s">
        <v>30</v>
      </c>
      <c r="F42" s="7"/>
      <c r="G42" s="4" t="s">
        <v>130</v>
      </c>
      <c r="H42" t="s">
        <v>185</v>
      </c>
      <c r="I42" s="8">
        <v>3238577.89</v>
      </c>
      <c r="J42" s="8">
        <v>0.85118076234151696</v>
      </c>
      <c r="K42" s="8">
        <v>12125.861641413499</v>
      </c>
      <c r="L42" s="8">
        <v>103.27381732616</v>
      </c>
      <c r="M42" s="7">
        <v>166070.92666666699</v>
      </c>
      <c r="N42" s="7">
        <v>1.05963625090067</v>
      </c>
      <c r="O42" s="7">
        <v>1229.69621297805</v>
      </c>
      <c r="P42" s="7">
        <v>13.048003699076199</v>
      </c>
      <c r="Q42" s="8">
        <v>1636267.18666667</v>
      </c>
      <c r="R42" s="8">
        <v>0.45833726226945298</v>
      </c>
      <c r="S42" s="8">
        <v>39020.724101751701</v>
      </c>
      <c r="T42" s="8">
        <v>178.84888971179799</v>
      </c>
      <c r="U42" s="7">
        <v>23708.8766666667</v>
      </c>
      <c r="V42" s="7">
        <v>0.38845606856995402</v>
      </c>
      <c r="W42" s="7">
        <v>281.32458880826402</v>
      </c>
      <c r="X42" s="7">
        <v>1.31149051437468</v>
      </c>
      <c r="Y42" s="8">
        <v>1316.44333333333</v>
      </c>
      <c r="Z42" s="8">
        <v>6.9694318438623402</v>
      </c>
      <c r="AA42" s="8">
        <v>744.46457801306099</v>
      </c>
      <c r="AB42" s="8">
        <v>52.958926037035603</v>
      </c>
      <c r="AC42" s="7">
        <v>21428.14</v>
      </c>
      <c r="AD42" s="7">
        <v>1.4644416704668</v>
      </c>
      <c r="AE42" s="7">
        <v>1152.36420085947</v>
      </c>
      <c r="AF42" s="7">
        <v>17.9371785858166</v>
      </c>
      <c r="AG42" s="8">
        <v>220586.67333333299</v>
      </c>
      <c r="AH42" s="8">
        <v>0.275430907119048</v>
      </c>
      <c r="AI42" s="8">
        <v>115.47700825702</v>
      </c>
      <c r="AJ42" s="8">
        <v>0.31820618395690098</v>
      </c>
      <c r="AK42" s="7">
        <v>43957.166666666701</v>
      </c>
      <c r="AL42" s="7">
        <v>0.19056717384939101</v>
      </c>
      <c r="AM42" s="7">
        <v>49.107219935785302</v>
      </c>
      <c r="AN42" s="7">
        <v>9.6717428547105994E-2</v>
      </c>
      <c r="AO42" s="8">
        <v>23428503.303333301</v>
      </c>
      <c r="AP42" s="8">
        <v>0.91270071342883297</v>
      </c>
      <c r="AQ42" s="8">
        <v>4223.3383859887799</v>
      </c>
      <c r="AR42" s="8">
        <v>38.549418341625497</v>
      </c>
      <c r="AS42" s="7">
        <v>9748.5366666666705</v>
      </c>
      <c r="AT42" s="7">
        <v>0.62315817038727805</v>
      </c>
      <c r="AU42" s="7">
        <v>2.71232078546827</v>
      </c>
      <c r="AV42" s="7">
        <v>1.69339354813107E-2</v>
      </c>
      <c r="AW42" s="8">
        <v>128014.843333333</v>
      </c>
      <c r="AX42" s="8">
        <v>1.97580649736728</v>
      </c>
      <c r="AY42" s="8">
        <v>124.60567337141499</v>
      </c>
      <c r="AZ42" s="8">
        <v>2.4625125918666302</v>
      </c>
      <c r="BA42" s="7">
        <v>11739009.640000001</v>
      </c>
      <c r="BB42" s="7">
        <v>1.6172587238940499</v>
      </c>
      <c r="BC42" s="7">
        <v>4097.17438454475</v>
      </c>
      <c r="BD42" s="7">
        <v>66.262673004868702</v>
      </c>
      <c r="BE42" s="8">
        <v>109756.74666666699</v>
      </c>
      <c r="BF42" s="8">
        <v>1.3560155074184801</v>
      </c>
      <c r="BG42" s="8">
        <v>271.010431826863</v>
      </c>
      <c r="BH42" s="8">
        <v>3.6979914750468401</v>
      </c>
      <c r="BI42" s="7">
        <v>3968.0633333333299</v>
      </c>
      <c r="BJ42" s="7">
        <v>6.0328655708394701</v>
      </c>
      <c r="BK42" s="7">
        <v>9.1331307226633598</v>
      </c>
      <c r="BL42" s="7">
        <v>0.55331632798000596</v>
      </c>
      <c r="BM42" s="8">
        <v>7476555.5433333302</v>
      </c>
      <c r="BN42" s="8">
        <v>1.29174843811885</v>
      </c>
      <c r="BO42" s="8">
        <v>1439.8457066578001</v>
      </c>
      <c r="BP42" s="8">
        <v>18.599470380555001</v>
      </c>
      <c r="BQ42" s="7">
        <v>1326.4566666666699</v>
      </c>
      <c r="BR42" s="7">
        <v>3.0193221853821299</v>
      </c>
      <c r="BS42" s="7">
        <v>2.1890167042528499</v>
      </c>
      <c r="BT42" s="7">
        <v>6.6093466993223896E-2</v>
      </c>
      <c r="BU42" s="8">
        <v>23437.759999999998</v>
      </c>
      <c r="BV42" s="8">
        <v>0.22902538970311001</v>
      </c>
      <c r="BW42" s="8">
        <v>56.275577754728999</v>
      </c>
      <c r="BX42" s="8">
        <v>0.128885361257459</v>
      </c>
      <c r="BY42" s="7">
        <v>15517800.9</v>
      </c>
      <c r="BZ42" s="7">
        <v>1.43988042173312</v>
      </c>
      <c r="CA42" s="7">
        <v>2055.3010293347102</v>
      </c>
      <c r="CB42" s="7">
        <v>29.5941889546475</v>
      </c>
      <c r="CC42" s="8">
        <v>227594.85666666701</v>
      </c>
      <c r="CD42" s="8">
        <v>0.48037548512940698</v>
      </c>
      <c r="CE42" s="7">
        <v>17537.293333333299</v>
      </c>
      <c r="CF42" s="7">
        <v>9.3539808578709902</v>
      </c>
      <c r="CG42" s="8">
        <v>1046071.33666667</v>
      </c>
      <c r="CH42" s="8">
        <v>0.45008404200427599</v>
      </c>
      <c r="CI42" s="7">
        <v>95581.486666666606</v>
      </c>
      <c r="CJ42" s="7">
        <v>9.5725697842845197</v>
      </c>
      <c r="CK42" s="8">
        <v>521965.15333333297</v>
      </c>
      <c r="CL42" s="8">
        <v>0.21685542723096199</v>
      </c>
      <c r="CM42" s="7">
        <v>600776.24333333306</v>
      </c>
      <c r="CN42" s="7">
        <v>10.347506269341601</v>
      </c>
    </row>
    <row r="43" spans="1:92" x14ac:dyDescent="0.35">
      <c r="A43" s="4"/>
      <c r="B43" s="4" t="b">
        <v>0</v>
      </c>
      <c r="C43" s="4" t="s">
        <v>59</v>
      </c>
      <c r="D43" s="5">
        <v>46212.580208333296</v>
      </c>
      <c r="E43" s="6" t="s">
        <v>30</v>
      </c>
      <c r="F43" s="7"/>
      <c r="G43" s="4" t="s">
        <v>81</v>
      </c>
      <c r="H43" t="s">
        <v>186</v>
      </c>
      <c r="I43" s="8">
        <v>2790097.6033333298</v>
      </c>
      <c r="J43" s="8">
        <v>1.33211614600712</v>
      </c>
      <c r="K43" s="8">
        <v>10445.675330149201</v>
      </c>
      <c r="L43" s="8">
        <v>139.243705610462</v>
      </c>
      <c r="M43" s="7">
        <v>145886.32666666701</v>
      </c>
      <c r="N43" s="7">
        <v>0.97741331308219603</v>
      </c>
      <c r="O43" s="7">
        <v>1080.0334350104599</v>
      </c>
      <c r="P43" s="7">
        <v>10.572714235132</v>
      </c>
      <c r="Q43" s="8">
        <v>1648252.90666667</v>
      </c>
      <c r="R43" s="8">
        <v>0.673912618736631</v>
      </c>
      <c r="S43" s="8">
        <v>39306.556194299199</v>
      </c>
      <c r="T43" s="8">
        <v>264.89532857965099</v>
      </c>
      <c r="U43" s="7">
        <v>18885.346666666701</v>
      </c>
      <c r="V43" s="7">
        <v>2.6131151674512001</v>
      </c>
      <c r="W43" s="7">
        <v>212.637161555744</v>
      </c>
      <c r="X43" s="7">
        <v>7.0274178573868999</v>
      </c>
      <c r="Y43" s="8">
        <v>1156.2666666666701</v>
      </c>
      <c r="Z43" s="8">
        <v>4.1752342237141198</v>
      </c>
      <c r="AA43" s="8">
        <v>652.00777417752295</v>
      </c>
      <c r="AB43" s="8">
        <v>27.866246470382698</v>
      </c>
      <c r="AC43" s="7">
        <v>19992.830000000002</v>
      </c>
      <c r="AD43" s="7">
        <v>2.9026412460967701</v>
      </c>
      <c r="AE43" s="7">
        <v>1070.3208689573501</v>
      </c>
      <c r="AF43" s="7">
        <v>33.171507912663799</v>
      </c>
      <c r="AG43" s="8">
        <v>188806.70666666701</v>
      </c>
      <c r="AH43" s="8">
        <v>0.687871792828472</v>
      </c>
      <c r="AI43" s="8">
        <v>98.832532952024394</v>
      </c>
      <c r="AJ43" s="8">
        <v>0.68020777178649205</v>
      </c>
      <c r="AK43" s="7">
        <v>39508.173333333303</v>
      </c>
      <c r="AL43" s="7">
        <v>1.3181166399797399</v>
      </c>
      <c r="AM43" s="7">
        <v>43.970466601778</v>
      </c>
      <c r="AN43" s="7">
        <v>0.60126752743532097</v>
      </c>
      <c r="AO43" s="8">
        <v>20518990.350000001</v>
      </c>
      <c r="AP43" s="8">
        <v>0.89208435187576895</v>
      </c>
      <c r="AQ43" s="8">
        <v>3698.8145974701802</v>
      </c>
      <c r="AR43" s="8">
        <v>32.999457705882101</v>
      </c>
      <c r="AS43" s="7">
        <v>11204.4233333333</v>
      </c>
      <c r="AT43" s="7">
        <v>1.57224431280702</v>
      </c>
      <c r="AU43" s="7">
        <v>3.1181541479842898</v>
      </c>
      <c r="AV43" s="7">
        <v>4.9105452735227498E-2</v>
      </c>
      <c r="AW43" s="8">
        <v>138587.39000000001</v>
      </c>
      <c r="AX43" s="8">
        <v>0.63574141026675801</v>
      </c>
      <c r="AY43" s="8">
        <v>134.89894260306099</v>
      </c>
      <c r="AZ43" s="8">
        <v>0.85778399444888198</v>
      </c>
      <c r="BA43" s="7">
        <v>11903953.3266667</v>
      </c>
      <c r="BB43" s="7">
        <v>0.96418012035991296</v>
      </c>
      <c r="BC43" s="7">
        <v>4154.74404747069</v>
      </c>
      <c r="BD43" s="7">
        <v>40.059670947669602</v>
      </c>
      <c r="BE43" s="8">
        <v>107007.05333333299</v>
      </c>
      <c r="BF43" s="8">
        <v>0.85536639820426996</v>
      </c>
      <c r="BG43" s="8">
        <v>264.17833072090201</v>
      </c>
      <c r="BH43" s="8">
        <v>2.2742312070568902</v>
      </c>
      <c r="BI43" s="7">
        <v>3821.1833333333302</v>
      </c>
      <c r="BJ43" s="7">
        <v>4.3640266890124204</v>
      </c>
      <c r="BK43" s="7">
        <v>8.7936353129087603</v>
      </c>
      <c r="BL43" s="7">
        <v>0.38543976295634302</v>
      </c>
      <c r="BM43" s="8">
        <v>6811042.5333333304</v>
      </c>
      <c r="BN43" s="8">
        <v>1.0129126583305901</v>
      </c>
      <c r="BO43" s="8">
        <v>1311.67829359755</v>
      </c>
      <c r="BP43" s="8">
        <v>13.286379700224099</v>
      </c>
      <c r="BQ43" s="7">
        <v>1343.15333333333</v>
      </c>
      <c r="BR43" s="7">
        <v>4.9629200968586096</v>
      </c>
      <c r="BS43" s="7">
        <v>2.2165707760571798</v>
      </c>
      <c r="BT43" s="7">
        <v>0.11000663650604001</v>
      </c>
      <c r="BU43" s="8">
        <v>23675.113333333298</v>
      </c>
      <c r="BV43" s="8">
        <v>2.3036116581308499</v>
      </c>
      <c r="BW43" s="8">
        <v>56.845478460485197</v>
      </c>
      <c r="BX43" s="8">
        <v>1.3094990689358399</v>
      </c>
      <c r="BY43" s="7">
        <v>16432101.106666701</v>
      </c>
      <c r="BZ43" s="7">
        <v>1.2318130794514</v>
      </c>
      <c r="CA43" s="7">
        <v>2176.3994999492102</v>
      </c>
      <c r="CB43" s="7">
        <v>26.809440467219801</v>
      </c>
      <c r="CC43" s="8">
        <v>223523.89</v>
      </c>
      <c r="CD43" s="8">
        <v>1.4770697013420999</v>
      </c>
      <c r="CE43" s="7">
        <v>18522.8</v>
      </c>
      <c r="CF43" s="7">
        <v>1.09713862630609</v>
      </c>
      <c r="CG43" s="8">
        <v>1047322.87333333</v>
      </c>
      <c r="CH43" s="8">
        <v>1.34537689703635</v>
      </c>
      <c r="CI43" s="7">
        <v>101355.35</v>
      </c>
      <c r="CJ43" s="7">
        <v>0.77636255064772797</v>
      </c>
      <c r="CK43" s="8">
        <v>524847.24666666705</v>
      </c>
      <c r="CL43" s="8">
        <v>1.40603471455976</v>
      </c>
      <c r="CM43" s="7">
        <v>648720.84666666703</v>
      </c>
      <c r="CN43" s="7">
        <v>0.33469355598608902</v>
      </c>
    </row>
    <row r="44" spans="1:92" x14ac:dyDescent="0.35">
      <c r="A44" s="4"/>
      <c r="B44" s="4" t="b">
        <v>0</v>
      </c>
      <c r="C44" s="4" t="s">
        <v>7</v>
      </c>
      <c r="D44" s="5">
        <v>46212.5831944444</v>
      </c>
      <c r="E44" s="6" t="s">
        <v>30</v>
      </c>
      <c r="F44" s="7"/>
      <c r="G44" s="4" t="s">
        <v>11</v>
      </c>
      <c r="H44" t="s">
        <v>187</v>
      </c>
      <c r="I44" s="8">
        <v>542208.183333333</v>
      </c>
      <c r="J44" s="8">
        <v>1.05110470748101</v>
      </c>
      <c r="K44" s="8">
        <v>2024.1835834516501</v>
      </c>
      <c r="L44" s="8">
        <v>21.351389007403501</v>
      </c>
      <c r="M44" s="7">
        <v>34972.543333333299</v>
      </c>
      <c r="N44" s="7">
        <v>2.0026422999959199</v>
      </c>
      <c r="O44" s="7">
        <v>257.64087193946699</v>
      </c>
      <c r="P44" s="7">
        <v>5.1930709582499199</v>
      </c>
      <c r="Q44" s="8">
        <v>1552233.5566666699</v>
      </c>
      <c r="R44" s="8">
        <v>1.3864863908181799</v>
      </c>
      <c r="S44" s="8">
        <v>37016.713637027002</v>
      </c>
      <c r="T44" s="8">
        <v>513.23886970570095</v>
      </c>
      <c r="U44" s="7">
        <v>16334.56</v>
      </c>
      <c r="V44" s="7">
        <v>2.34897444704277</v>
      </c>
      <c r="W44" s="7">
        <v>176.31376901887501</v>
      </c>
      <c r="X44" s="7">
        <v>5.46384032071688</v>
      </c>
      <c r="Y44" s="8">
        <v>306.99</v>
      </c>
      <c r="Z44" s="8">
        <v>4.1038110578337896</v>
      </c>
      <c r="AA44" s="8">
        <v>161.790267432267</v>
      </c>
      <c r="AB44" s="8">
        <v>7.2719554685947196</v>
      </c>
      <c r="AC44" s="7">
        <v>5007.7966666666698</v>
      </c>
      <c r="AD44" s="7">
        <v>1.5271079298379899</v>
      </c>
      <c r="AE44" s="7">
        <v>213.76579490988399</v>
      </c>
      <c r="AF44" s="7">
        <v>4.3713340702518897</v>
      </c>
      <c r="AG44" s="8">
        <v>72420.98</v>
      </c>
      <c r="AH44" s="8">
        <v>1.4190057528154401</v>
      </c>
      <c r="AI44" s="8">
        <v>37.876542227553102</v>
      </c>
      <c r="AJ44" s="8">
        <v>0.53822668410293995</v>
      </c>
      <c r="AK44" s="7">
        <v>10494.8166666667</v>
      </c>
      <c r="AL44" s="7">
        <v>2.8117740786828498</v>
      </c>
      <c r="AM44" s="7">
        <v>10.4719995504505</v>
      </c>
      <c r="AN44" s="7">
        <v>0.340707925157406</v>
      </c>
      <c r="AO44" s="8">
        <v>8134010.8066666704</v>
      </c>
      <c r="AP44" s="8">
        <v>0.63912061742408399</v>
      </c>
      <c r="AQ44" s="8">
        <v>1466.06413545489</v>
      </c>
      <c r="AR44" s="8">
        <v>9.3720040389312604</v>
      </c>
      <c r="AS44" s="7">
        <v>7102.5533333333296</v>
      </c>
      <c r="AT44" s="7">
        <v>3.59614208292966</v>
      </c>
      <c r="AU44" s="7">
        <v>1.97474392738316</v>
      </c>
      <c r="AV44" s="7">
        <v>7.11986113924922E-2</v>
      </c>
      <c r="AW44" s="8">
        <v>129619.773333333</v>
      </c>
      <c r="AX44" s="8">
        <v>1.0053086567326801</v>
      </c>
      <c r="AY44" s="8">
        <v>126.168208596729</v>
      </c>
      <c r="AZ44" s="8">
        <v>1.26865753006894</v>
      </c>
      <c r="BA44" s="7">
        <v>165409917.42333299</v>
      </c>
      <c r="BB44" s="7">
        <v>0.75991099689361596</v>
      </c>
      <c r="BC44" s="7">
        <v>57732.342491878699</v>
      </c>
      <c r="BD44" s="7">
        <v>438.71477779935401</v>
      </c>
      <c r="BE44" s="8">
        <v>771570.03</v>
      </c>
      <c r="BF44" s="8">
        <v>1.7191992539195899</v>
      </c>
      <c r="BG44" s="8">
        <v>1915.4029937857399</v>
      </c>
      <c r="BH44" s="8">
        <v>32.958814951284602</v>
      </c>
      <c r="BI44" s="7">
        <v>2209.17</v>
      </c>
      <c r="BJ44" s="7">
        <v>1.84547615914026</v>
      </c>
      <c r="BK44" s="7">
        <v>5.0676608634950098</v>
      </c>
      <c r="BL44" s="7">
        <v>9.4234258784516398E-2</v>
      </c>
      <c r="BM44" s="8">
        <v>9993329.5733333305</v>
      </c>
      <c r="BN44" s="8">
        <v>1.0355254100448099</v>
      </c>
      <c r="BO44" s="8">
        <v>1924.53708283739</v>
      </c>
      <c r="BP44" s="8">
        <v>19.929299752078698</v>
      </c>
      <c r="BQ44" s="7">
        <v>3422.36</v>
      </c>
      <c r="BR44" s="7">
        <v>3.7927608060574398</v>
      </c>
      <c r="BS44" s="7">
        <v>5.6478310948467501</v>
      </c>
      <c r="BT44" s="7">
        <v>0.21420872415768799</v>
      </c>
      <c r="BU44" s="8">
        <v>12615.6933333333</v>
      </c>
      <c r="BV44" s="8">
        <v>1.7646684102532</v>
      </c>
      <c r="BW44" s="8">
        <v>30.291095698130601</v>
      </c>
      <c r="BX44" s="8">
        <v>0.53453739690438595</v>
      </c>
      <c r="BY44" s="7">
        <v>72659108.213333294</v>
      </c>
      <c r="BZ44" s="7">
        <v>0.99298145786314795</v>
      </c>
      <c r="CA44" s="7">
        <v>9623.6301996683906</v>
      </c>
      <c r="CB44" s="7">
        <v>95.561078499655807</v>
      </c>
      <c r="CC44" s="8">
        <v>228897.53333333301</v>
      </c>
      <c r="CD44" s="8">
        <v>0.97221122002752103</v>
      </c>
      <c r="CE44" s="7">
        <v>19039.003333333301</v>
      </c>
      <c r="CF44" s="7">
        <v>0.73075501699451595</v>
      </c>
      <c r="CG44" s="8">
        <v>1046803.23666667</v>
      </c>
      <c r="CH44" s="8">
        <v>0.349310781213656</v>
      </c>
      <c r="CI44" s="7">
        <v>101004.94333333299</v>
      </c>
      <c r="CJ44" s="7">
        <v>0.86790362482377803</v>
      </c>
      <c r="CK44" s="8">
        <v>550534.80000000005</v>
      </c>
      <c r="CL44" s="8">
        <v>0.71877323180293096</v>
      </c>
      <c r="CM44" s="7">
        <v>677474.88</v>
      </c>
      <c r="CN44" s="7">
        <v>0.57188849418379195</v>
      </c>
    </row>
    <row r="45" spans="1:92" x14ac:dyDescent="0.35">
      <c r="A45" s="4"/>
      <c r="B45" s="4" t="b">
        <v>0</v>
      </c>
      <c r="C45" s="4" t="s">
        <v>0</v>
      </c>
      <c r="D45" s="5">
        <v>46212.5863425926</v>
      </c>
      <c r="E45" s="6" t="s">
        <v>30</v>
      </c>
      <c r="F45" s="7"/>
      <c r="G45" s="4" t="s">
        <v>85</v>
      </c>
      <c r="H45" t="s">
        <v>188</v>
      </c>
      <c r="I45" s="8">
        <v>255218.906666667</v>
      </c>
      <c r="J45" s="8">
        <v>1.49345583100686</v>
      </c>
      <c r="K45" s="8">
        <v>949.00710753806698</v>
      </c>
      <c r="L45" s="8">
        <v>14.2797074742845</v>
      </c>
      <c r="M45" s="7">
        <v>20229.95</v>
      </c>
      <c r="N45" s="7">
        <v>2.2419142755426802</v>
      </c>
      <c r="O45" s="7">
        <v>148.328947367604</v>
      </c>
      <c r="P45" s="7">
        <v>3.3628497713820602</v>
      </c>
      <c r="Q45" s="8">
        <v>810600.97666666703</v>
      </c>
      <c r="R45" s="8">
        <v>0.94410671001170998</v>
      </c>
      <c r="S45" s="8">
        <v>19330.467650737901</v>
      </c>
      <c r="T45" s="8">
        <v>182.50512637652801</v>
      </c>
      <c r="U45" s="7">
        <v>16459.856666666699</v>
      </c>
      <c r="V45" s="7">
        <v>4.9500078453745999</v>
      </c>
      <c r="W45" s="7">
        <v>178.098002904981</v>
      </c>
      <c r="X45" s="7">
        <v>11.6023029739391</v>
      </c>
      <c r="Y45" s="8">
        <v>136.81</v>
      </c>
      <c r="Z45" s="8">
        <v>18.772762070498601</v>
      </c>
      <c r="AA45" s="8">
        <v>63.559362743286698</v>
      </c>
      <c r="AB45" s="8">
        <v>14.824690774828699</v>
      </c>
      <c r="AC45" s="7">
        <v>3230.42</v>
      </c>
      <c r="AD45" s="7">
        <v>4.9239472863676896</v>
      </c>
      <c r="AE45" s="7">
        <v>112.16969108671999</v>
      </c>
      <c r="AF45" s="7">
        <v>9.09222059590528</v>
      </c>
      <c r="AG45" s="8">
        <v>8531.4766666666692</v>
      </c>
      <c r="AH45" s="8">
        <v>2.44965614033018</v>
      </c>
      <c r="AI45" s="8">
        <v>4.4149822569598403</v>
      </c>
      <c r="AJ45" s="8">
        <v>0.10945762121246699</v>
      </c>
      <c r="AK45" s="7">
        <v>4098.2299999999996</v>
      </c>
      <c r="AL45" s="7">
        <v>4.8037491050133898</v>
      </c>
      <c r="AM45" s="7">
        <v>3.0865787542254299</v>
      </c>
      <c r="AN45" s="7">
        <v>0.22730218012619399</v>
      </c>
      <c r="AO45" s="8">
        <v>1447576.33</v>
      </c>
      <c r="AP45" s="8">
        <v>0.81168594906953795</v>
      </c>
      <c r="AQ45" s="8">
        <v>260.64109742907101</v>
      </c>
      <c r="AR45" s="8">
        <v>2.1182362477435399</v>
      </c>
      <c r="AS45" s="7">
        <v>3809.4933333333302</v>
      </c>
      <c r="AT45" s="7">
        <v>4.7334422808709897</v>
      </c>
      <c r="AU45" s="7">
        <v>1.05679224655154</v>
      </c>
      <c r="AV45" s="7">
        <v>5.0264860470193899E-2</v>
      </c>
      <c r="AW45" s="8">
        <v>60617.363333333298</v>
      </c>
      <c r="AX45" s="8">
        <v>0.95525572721804097</v>
      </c>
      <c r="AY45" s="8">
        <v>58.988520849238498</v>
      </c>
      <c r="AZ45" s="8">
        <v>0.563755009143452</v>
      </c>
      <c r="BA45" s="7">
        <v>260347248.07666701</v>
      </c>
      <c r="BB45" s="7">
        <v>1.24018831054995</v>
      </c>
      <c r="BC45" s="7">
        <v>90867.955228887193</v>
      </c>
      <c r="BD45" s="7">
        <v>1126.9343437627499</v>
      </c>
      <c r="BE45" s="8">
        <v>238502.47</v>
      </c>
      <c r="BF45" s="8">
        <v>1.14552970905314</v>
      </c>
      <c r="BG45" s="8">
        <v>590.902031413749</v>
      </c>
      <c r="BH45" s="8">
        <v>6.7884287183643703</v>
      </c>
      <c r="BI45" s="7">
        <v>1149.59666666667</v>
      </c>
      <c r="BJ45" s="7">
        <v>7.0925685960134004</v>
      </c>
      <c r="BK45" s="7">
        <v>2.6185848629159301</v>
      </c>
      <c r="BL45" s="7">
        <v>0.18846047588956799</v>
      </c>
      <c r="BM45" s="8">
        <v>4961325.5266666701</v>
      </c>
      <c r="BN45" s="8">
        <v>0.87554765827340197</v>
      </c>
      <c r="BO45" s="8">
        <v>955.45168333486095</v>
      </c>
      <c r="BP45" s="8">
        <v>8.3656286587692001</v>
      </c>
      <c r="BQ45" s="7">
        <v>1646.83</v>
      </c>
      <c r="BR45" s="7">
        <v>5.0777272035236596</v>
      </c>
      <c r="BS45" s="7">
        <v>2.7177204274028699</v>
      </c>
      <c r="BT45" s="7">
        <v>0.13799842945795199</v>
      </c>
      <c r="BU45" s="8">
        <v>8042.45</v>
      </c>
      <c r="BV45" s="8">
        <v>3.2334755681990899</v>
      </c>
      <c r="BW45" s="8">
        <v>19.310442649533101</v>
      </c>
      <c r="BX45" s="8">
        <v>0.624398445183731</v>
      </c>
      <c r="BY45" s="7">
        <v>67549119.239999995</v>
      </c>
      <c r="BZ45" s="7">
        <v>1.23767185188837</v>
      </c>
      <c r="CA45" s="7">
        <v>8946.8154674661</v>
      </c>
      <c r="CB45" s="7">
        <v>110.732484715854</v>
      </c>
      <c r="CC45" s="8">
        <v>228785.756666667</v>
      </c>
      <c r="CD45" s="8">
        <v>0.529191880620138</v>
      </c>
      <c r="CE45" s="7">
        <v>18511.113333333298</v>
      </c>
      <c r="CF45" s="7">
        <v>1.4626289897524101</v>
      </c>
      <c r="CG45" s="8">
        <v>1081297.05333333</v>
      </c>
      <c r="CH45" s="8">
        <v>1.16489437372189</v>
      </c>
      <c r="CI45" s="7">
        <v>103339.853333333</v>
      </c>
      <c r="CJ45" s="7">
        <v>0.845282781253343</v>
      </c>
      <c r="CK45" s="8">
        <v>526731.76</v>
      </c>
      <c r="CL45" s="8">
        <v>0.61694762526865099</v>
      </c>
      <c r="CM45" s="7">
        <v>648436.49333333306</v>
      </c>
      <c r="CN45" s="7">
        <v>0.55463538534714396</v>
      </c>
    </row>
    <row r="46" spans="1:92" x14ac:dyDescent="0.35">
      <c r="A46" s="4"/>
      <c r="B46" s="4" t="b">
        <v>0</v>
      </c>
      <c r="C46" s="4" t="s">
        <v>122</v>
      </c>
      <c r="D46" s="5">
        <v>46212.589386574102</v>
      </c>
      <c r="E46" s="6" t="s">
        <v>30</v>
      </c>
      <c r="F46" s="7"/>
      <c r="G46" s="4" t="s">
        <v>10</v>
      </c>
      <c r="H46" t="s">
        <v>189</v>
      </c>
      <c r="I46" s="8">
        <v>230072.066666667</v>
      </c>
      <c r="J46" s="8">
        <v>1.7371466200722101</v>
      </c>
      <c r="K46" s="8">
        <v>854.79699932219</v>
      </c>
      <c r="L46" s="8">
        <v>14.973194064418101</v>
      </c>
      <c r="M46" s="7">
        <v>19757.11</v>
      </c>
      <c r="N46" s="7">
        <v>0.76713332999179196</v>
      </c>
      <c r="O46" s="7">
        <v>144.822980049243</v>
      </c>
      <c r="P46" s="7">
        <v>1.1237971457604401</v>
      </c>
      <c r="Q46" s="8">
        <v>963097.88</v>
      </c>
      <c r="R46" s="8">
        <v>1.4026509798232201</v>
      </c>
      <c r="S46" s="8">
        <v>22967.171076712901</v>
      </c>
      <c r="T46" s="8">
        <v>322.15650657168499</v>
      </c>
      <c r="U46" s="7">
        <v>14313.71</v>
      </c>
      <c r="V46" s="7">
        <v>2.77883796383647</v>
      </c>
      <c r="W46" s="7">
        <v>147.536714172476</v>
      </c>
      <c r="X46" s="7">
        <v>5.6640581494084197</v>
      </c>
      <c r="Y46" s="8">
        <v>141.816666666667</v>
      </c>
      <c r="Z46" s="8">
        <v>17.410343058150499</v>
      </c>
      <c r="AA46" s="8">
        <v>66.449299258404906</v>
      </c>
      <c r="AB46" s="8">
        <v>14.251947912896799</v>
      </c>
      <c r="AC46" s="7">
        <v>2689.76</v>
      </c>
      <c r="AD46" s="7">
        <v>5.1050463191664699</v>
      </c>
      <c r="AE46" s="7">
        <v>81.265184167515997</v>
      </c>
      <c r="AF46" s="7">
        <v>7.8489361549625398</v>
      </c>
      <c r="AG46" s="8">
        <v>9299.4066666666695</v>
      </c>
      <c r="AH46" s="8">
        <v>1.47033216651443</v>
      </c>
      <c r="AI46" s="8">
        <v>4.8171787745028301</v>
      </c>
      <c r="AJ46" s="8">
        <v>7.1612258422837305E-2</v>
      </c>
      <c r="AK46" s="7">
        <v>5817.27</v>
      </c>
      <c r="AL46" s="7">
        <v>6.21391981785216</v>
      </c>
      <c r="AM46" s="7">
        <v>5.0713613307989798</v>
      </c>
      <c r="AN46" s="7">
        <v>0.41736096021478303</v>
      </c>
      <c r="AO46" s="8">
        <v>2339975.3333333302</v>
      </c>
      <c r="AP46" s="8">
        <v>1.25037625718489</v>
      </c>
      <c r="AQ46" s="8">
        <v>421.52180619592798</v>
      </c>
      <c r="AR46" s="8">
        <v>5.2746894102976603</v>
      </c>
      <c r="AS46" s="7">
        <v>2097.3566666666702</v>
      </c>
      <c r="AT46" s="7">
        <v>3.8413201464725599</v>
      </c>
      <c r="AU46" s="7">
        <v>0.57952832455191305</v>
      </c>
      <c r="AV46" s="7">
        <v>2.2458097995863201E-2</v>
      </c>
      <c r="AW46" s="8">
        <v>53510.836666666699</v>
      </c>
      <c r="AX46" s="8">
        <v>2.7023855460466302</v>
      </c>
      <c r="AY46" s="8">
        <v>52.069715514238197</v>
      </c>
      <c r="AZ46" s="8">
        <v>1.4078707055389901</v>
      </c>
      <c r="BA46" s="7">
        <v>20433823.103333302</v>
      </c>
      <c r="BB46" s="7">
        <v>1.0663146542325099</v>
      </c>
      <c r="BC46" s="7">
        <v>7131.8918108601802</v>
      </c>
      <c r="BD46" s="7">
        <v>76.0489104686107</v>
      </c>
      <c r="BE46" s="8">
        <v>149884.64333333299</v>
      </c>
      <c r="BF46" s="8">
        <v>1.4084713646131899</v>
      </c>
      <c r="BG46" s="8">
        <v>370.71531304860503</v>
      </c>
      <c r="BH46" s="8">
        <v>5.24535860563602</v>
      </c>
      <c r="BI46" s="7">
        <v>1526.69</v>
      </c>
      <c r="BJ46" s="7">
        <v>5.2456622148738203</v>
      </c>
      <c r="BK46" s="7">
        <v>3.4901906344010301</v>
      </c>
      <c r="BL46" s="7">
        <v>0.185106822230168</v>
      </c>
      <c r="BM46" s="8">
        <v>7367719.6399999997</v>
      </c>
      <c r="BN46" s="8">
        <v>1.35666124462042</v>
      </c>
      <c r="BO46" s="8">
        <v>1418.88561125965</v>
      </c>
      <c r="BP46" s="8">
        <v>19.249771516660001</v>
      </c>
      <c r="BQ46" s="7">
        <v>919.33</v>
      </c>
      <c r="BR46" s="7">
        <v>11.1223982946949</v>
      </c>
      <c r="BS46" s="7">
        <v>1.5171462267048099</v>
      </c>
      <c r="BT46" s="7">
        <v>0.16874304604704499</v>
      </c>
      <c r="BU46" s="8">
        <v>7237.86</v>
      </c>
      <c r="BV46" s="8">
        <v>4.6829135364969199</v>
      </c>
      <c r="BW46" s="8">
        <v>17.3785700172646</v>
      </c>
      <c r="BX46" s="8">
        <v>0.81382340778805196</v>
      </c>
      <c r="BY46" s="7">
        <v>20104048.760000002</v>
      </c>
      <c r="BZ46" s="7">
        <v>1.7782138445512801</v>
      </c>
      <c r="CA46" s="7">
        <v>2662.7465900546599</v>
      </c>
      <c r="CB46" s="7">
        <v>47.349713605945297</v>
      </c>
      <c r="CC46" s="8">
        <v>217412.20666666701</v>
      </c>
      <c r="CD46" s="8">
        <v>0.80783878942285803</v>
      </c>
      <c r="CE46" s="7">
        <v>17971.52</v>
      </c>
      <c r="CF46" s="7">
        <v>1.8364589617063201</v>
      </c>
      <c r="CG46" s="8">
        <v>1029335.26333333</v>
      </c>
      <c r="CH46" s="8">
        <v>1.23091478433326</v>
      </c>
      <c r="CI46" s="7">
        <v>97354.776666666701</v>
      </c>
      <c r="CJ46" s="7">
        <v>1.00508517581209</v>
      </c>
      <c r="CK46" s="8">
        <v>516599.72</v>
      </c>
      <c r="CL46" s="8">
        <v>1.2444544668519799</v>
      </c>
      <c r="CM46" s="7">
        <v>644350.15333333297</v>
      </c>
      <c r="CN46" s="7">
        <v>0.44116954961706001</v>
      </c>
    </row>
    <row r="47" spans="1:92" x14ac:dyDescent="0.35">
      <c r="A47" s="4"/>
      <c r="B47" s="4" t="b">
        <v>0</v>
      </c>
      <c r="C47" s="4" t="s">
        <v>8</v>
      </c>
      <c r="D47" s="5">
        <v>46212.592499999999</v>
      </c>
      <c r="E47" s="6" t="s">
        <v>30</v>
      </c>
      <c r="F47" s="7"/>
      <c r="G47" s="4" t="s">
        <v>39</v>
      </c>
      <c r="H47" s="4"/>
      <c r="I47" s="8">
        <v>6102.68</v>
      </c>
      <c r="J47" s="8">
        <v>3.3421045011144099</v>
      </c>
      <c r="K47" s="8">
        <v>15.718206324338199</v>
      </c>
      <c r="L47" s="8">
        <v>0.76410793080014505</v>
      </c>
      <c r="M47" s="7">
        <v>136.81</v>
      </c>
      <c r="N47" s="7">
        <v>14.785380656304801</v>
      </c>
      <c r="O47" s="7" t="s">
        <v>34</v>
      </c>
      <c r="P47" s="7">
        <v>0.14998368086674599</v>
      </c>
      <c r="Q47" s="8">
        <v>106.783333333333</v>
      </c>
      <c r="R47" s="8">
        <v>10.8243037825904</v>
      </c>
      <c r="S47" s="8">
        <v>2.0292024805239</v>
      </c>
      <c r="T47" s="8">
        <v>0.27564511904315397</v>
      </c>
      <c r="U47" s="7">
        <v>4034.7966666666698</v>
      </c>
      <c r="V47" s="7">
        <v>2.2748265767214999</v>
      </c>
      <c r="W47" s="7">
        <v>1.1642210360617899</v>
      </c>
      <c r="X47" s="7">
        <v>1.3070199381791601</v>
      </c>
      <c r="Y47" s="8">
        <v>8.3433333333333302</v>
      </c>
      <c r="Z47" s="8">
        <v>124.865418167136</v>
      </c>
      <c r="AA47" s="8" t="s">
        <v>34</v>
      </c>
      <c r="AB47" s="8">
        <v>6.0134180292017296</v>
      </c>
      <c r="AC47" s="7">
        <v>814.21333333333303</v>
      </c>
      <c r="AD47" s="7">
        <v>1.8784870951497099</v>
      </c>
      <c r="AE47" s="7" t="s">
        <v>34</v>
      </c>
      <c r="AF47" s="7">
        <v>0.87426683647378101</v>
      </c>
      <c r="AG47" s="8">
        <v>4270.1333333333296</v>
      </c>
      <c r="AH47" s="8">
        <v>1.52454265509811</v>
      </c>
      <c r="AI47" s="8">
        <v>2.1831415309539701</v>
      </c>
      <c r="AJ47" s="8">
        <v>3.4095548994761103E-2</v>
      </c>
      <c r="AK47" s="7">
        <v>285.303333333333</v>
      </c>
      <c r="AL47" s="7">
        <v>6.0779927992282001</v>
      </c>
      <c r="AM47" s="7" t="s">
        <v>34</v>
      </c>
      <c r="AN47" s="7">
        <v>2.0021378847018399E-2</v>
      </c>
      <c r="AO47" s="8">
        <v>50165.053333333301</v>
      </c>
      <c r="AP47" s="8">
        <v>0.96012713998379295</v>
      </c>
      <c r="AQ47" s="8">
        <v>8.7173326229858805</v>
      </c>
      <c r="AR47" s="8">
        <v>8.6831023206306396E-2</v>
      </c>
      <c r="AS47" s="7">
        <v>692.41</v>
      </c>
      <c r="AT47" s="7">
        <v>2.7368734160911501</v>
      </c>
      <c r="AU47" s="7">
        <v>0.18789466037772901</v>
      </c>
      <c r="AV47" s="7">
        <v>5.2824843657372396E-3</v>
      </c>
      <c r="AW47" s="8">
        <v>1348.14333333333</v>
      </c>
      <c r="AX47" s="8">
        <v>3.6633552868727302</v>
      </c>
      <c r="AY47" s="8">
        <v>1.28491756005889</v>
      </c>
      <c r="AZ47" s="8">
        <v>4.8082698187249001E-2</v>
      </c>
      <c r="BA47" s="7">
        <v>7998.95</v>
      </c>
      <c r="BB47" s="7">
        <v>1.12376342032306</v>
      </c>
      <c r="BC47" s="7">
        <v>2.74467430832724</v>
      </c>
      <c r="BD47" s="7">
        <v>3.13737089047686E-2</v>
      </c>
      <c r="BE47" s="8">
        <v>779.17333333333295</v>
      </c>
      <c r="BF47" s="8">
        <v>12.75745627599</v>
      </c>
      <c r="BG47" s="8">
        <v>0.23630939299324899</v>
      </c>
      <c r="BH47" s="8">
        <v>0.24698364360231501</v>
      </c>
      <c r="BI47" s="7">
        <v>75.08</v>
      </c>
      <c r="BJ47" s="7">
        <v>35.274334874475997</v>
      </c>
      <c r="BK47" s="7">
        <v>0.134969149148539</v>
      </c>
      <c r="BL47" s="7">
        <v>6.1214504757905901E-2</v>
      </c>
      <c r="BM47" s="8">
        <v>5448.63</v>
      </c>
      <c r="BN47" s="8">
        <v>2.55744323316233</v>
      </c>
      <c r="BO47" s="8">
        <v>1.0271841190841799</v>
      </c>
      <c r="BP47" s="8">
        <v>2.68357902404215E-2</v>
      </c>
      <c r="BQ47" s="7">
        <v>83.42</v>
      </c>
      <c r="BR47" s="7">
        <v>24.248236964625399</v>
      </c>
      <c r="BS47" s="7">
        <v>0.137665841680044</v>
      </c>
      <c r="BT47" s="7">
        <v>3.3381539509923099E-2</v>
      </c>
      <c r="BU47" s="8">
        <v>91.76</v>
      </c>
      <c r="BV47" s="8">
        <v>24.59828064913</v>
      </c>
      <c r="BW47" s="8">
        <v>0.22032169519501599</v>
      </c>
      <c r="BX47" s="8">
        <v>5.4195348914990303E-2</v>
      </c>
      <c r="BY47" s="7">
        <v>6246.3666666666704</v>
      </c>
      <c r="BZ47" s="7">
        <v>2.5567996845388401</v>
      </c>
      <c r="CA47" s="7">
        <v>0.80567087001724202</v>
      </c>
      <c r="CB47" s="7">
        <v>2.11530998070927E-2</v>
      </c>
      <c r="CC47" s="8">
        <v>226356.596666667</v>
      </c>
      <c r="CD47" s="8">
        <v>1.2813050519269999</v>
      </c>
      <c r="CE47" s="7">
        <v>18270.6266666667</v>
      </c>
      <c r="CF47" s="7">
        <v>2.0550366638587798</v>
      </c>
      <c r="CG47" s="8">
        <v>1060209.10333333</v>
      </c>
      <c r="CH47" s="8">
        <v>1.2156957398578101</v>
      </c>
      <c r="CI47" s="7">
        <v>97741.026666666701</v>
      </c>
      <c r="CJ47" s="7">
        <v>0.82677200397828399</v>
      </c>
      <c r="CK47" s="8">
        <v>545193.99</v>
      </c>
      <c r="CL47" s="8">
        <v>0.58380824672938803</v>
      </c>
      <c r="CM47" s="7">
        <v>656120.88333333295</v>
      </c>
      <c r="CN47" s="7">
        <v>0.37233371836986701</v>
      </c>
    </row>
    <row r="48" spans="1:92" x14ac:dyDescent="0.35">
      <c r="A48" s="4"/>
      <c r="B48" s="4" t="b">
        <v>0</v>
      </c>
      <c r="C48" s="4" t="s">
        <v>100</v>
      </c>
      <c r="D48" s="5">
        <v>46212.595509259299</v>
      </c>
      <c r="E48" s="6" t="s">
        <v>30</v>
      </c>
      <c r="F48" s="7"/>
      <c r="G48" s="4" t="s">
        <v>36</v>
      </c>
      <c r="H48" s="4"/>
      <c r="I48" s="8">
        <v>5109.59666666667</v>
      </c>
      <c r="J48" s="8">
        <v>4.2421496748360799</v>
      </c>
      <c r="K48" s="8">
        <v>11.997719444049601</v>
      </c>
      <c r="L48" s="8">
        <v>0.81205733123299295</v>
      </c>
      <c r="M48" s="7">
        <v>108.446666666667</v>
      </c>
      <c r="N48" s="7">
        <v>14.099582807680401</v>
      </c>
      <c r="O48" s="7" t="s">
        <v>34</v>
      </c>
      <c r="P48" s="7">
        <v>0.113374693208789</v>
      </c>
      <c r="Q48" s="8">
        <v>30.033333333333299</v>
      </c>
      <c r="R48" s="8">
        <v>28.854697693239601</v>
      </c>
      <c r="S48" s="8">
        <v>0.19888998340074401</v>
      </c>
      <c r="T48" s="8">
        <v>0.206664996845042</v>
      </c>
      <c r="U48" s="7">
        <v>3594.2266666666701</v>
      </c>
      <c r="V48" s="7">
        <v>2.1073802548127398</v>
      </c>
      <c r="W48" s="7" t="s">
        <v>34</v>
      </c>
      <c r="X48" s="7">
        <v>1.07860054266677</v>
      </c>
      <c r="Y48" s="8">
        <v>10.0133333333333</v>
      </c>
      <c r="Z48" s="8">
        <v>86.602540378443905</v>
      </c>
      <c r="AA48" s="8" t="s">
        <v>34</v>
      </c>
      <c r="AB48" s="8">
        <v>5.0055168748333703</v>
      </c>
      <c r="AC48" s="7">
        <v>792.52333333333297</v>
      </c>
      <c r="AD48" s="7">
        <v>9.9930123652313601</v>
      </c>
      <c r="AE48" s="7" t="s">
        <v>34</v>
      </c>
      <c r="AF48" s="7">
        <v>4.5269537868974901</v>
      </c>
      <c r="AG48" s="8">
        <v>3732.7333333333299</v>
      </c>
      <c r="AH48" s="8">
        <v>2.8181595065057898</v>
      </c>
      <c r="AI48" s="8">
        <v>1.9016830535828599</v>
      </c>
      <c r="AJ48" s="8">
        <v>5.5094621923693701E-2</v>
      </c>
      <c r="AK48" s="7">
        <v>175.183333333333</v>
      </c>
      <c r="AL48" s="7">
        <v>30.904838307293101</v>
      </c>
      <c r="AM48" s="7" t="s">
        <v>34</v>
      </c>
      <c r="AN48" s="7">
        <v>6.2509527757170794E-2</v>
      </c>
      <c r="AO48" s="8">
        <v>45540.163333333301</v>
      </c>
      <c r="AP48" s="8">
        <v>0.77187491705045896</v>
      </c>
      <c r="AQ48" s="8">
        <v>7.88356255109034</v>
      </c>
      <c r="AR48" s="8">
        <v>6.3370393880434001E-2</v>
      </c>
      <c r="AS48" s="7">
        <v>268.62</v>
      </c>
      <c r="AT48" s="7">
        <v>8.80421630363346</v>
      </c>
      <c r="AU48" s="7">
        <v>6.9761755778472198E-2</v>
      </c>
      <c r="AV48" s="7">
        <v>6.5924861537743698E-3</v>
      </c>
      <c r="AW48" s="8">
        <v>1181.29666666667</v>
      </c>
      <c r="AX48" s="8">
        <v>2.57725686231757</v>
      </c>
      <c r="AY48" s="8">
        <v>1.1224782051381501</v>
      </c>
      <c r="AZ48" s="8">
        <v>2.96408330165727E-2</v>
      </c>
      <c r="BA48" s="7">
        <v>3400.65333333333</v>
      </c>
      <c r="BB48" s="7">
        <v>3.09583882954264</v>
      </c>
      <c r="BC48" s="7">
        <v>1.1397484425166899</v>
      </c>
      <c r="BD48" s="7">
        <v>3.6745037431883697E-2</v>
      </c>
      <c r="BE48" s="8">
        <v>625.66999999999996</v>
      </c>
      <c r="BF48" s="8">
        <v>15.9801584005442</v>
      </c>
      <c r="BG48" s="8" t="s">
        <v>34</v>
      </c>
      <c r="BH48" s="8">
        <v>0.248425650405492</v>
      </c>
      <c r="BI48" s="7">
        <v>10.0133333333333</v>
      </c>
      <c r="BJ48" s="7">
        <v>49.983363839887801</v>
      </c>
      <c r="BK48" s="7" t="s">
        <v>34</v>
      </c>
      <c r="BL48" s="7">
        <v>1.1568455939896499E-2</v>
      </c>
      <c r="BM48" s="8">
        <v>5360.2933333333303</v>
      </c>
      <c r="BN48" s="8">
        <v>0.84617515711035496</v>
      </c>
      <c r="BO48" s="8">
        <v>1.0101718565515001</v>
      </c>
      <c r="BP48" s="8">
        <v>8.7351405217961399E-3</v>
      </c>
      <c r="BQ48" s="7">
        <v>8.3433333333333302</v>
      </c>
      <c r="BR48" s="7">
        <v>91.659363126148705</v>
      </c>
      <c r="BS48" s="7">
        <v>1.37687845330916E-2</v>
      </c>
      <c r="BT48" s="7">
        <v>1.2620380213243401E-2</v>
      </c>
      <c r="BU48" s="8">
        <v>21.69</v>
      </c>
      <c r="BV48" s="8">
        <v>48.038447843365603</v>
      </c>
      <c r="BW48" s="8">
        <v>5.2079092946598703E-2</v>
      </c>
      <c r="BX48" s="8">
        <v>2.50179879024497E-2</v>
      </c>
      <c r="BY48" s="7">
        <v>1660.19333333333</v>
      </c>
      <c r="BZ48" s="7">
        <v>7.0220883390437496</v>
      </c>
      <c r="CA48" s="7">
        <v>0.19823518030606299</v>
      </c>
      <c r="CB48" s="7">
        <v>1.5440977660847101E-2</v>
      </c>
      <c r="CC48" s="8">
        <v>220424.51</v>
      </c>
      <c r="CD48" s="8">
        <v>0.67704651057727205</v>
      </c>
      <c r="CE48" s="7">
        <v>17565.573333333301</v>
      </c>
      <c r="CF48" s="7">
        <v>1.77357915723133</v>
      </c>
      <c r="CG48" s="8">
        <v>1035464.84333333</v>
      </c>
      <c r="CH48" s="8">
        <v>0.65933696216361604</v>
      </c>
      <c r="CI48" s="7">
        <v>96963.016666666706</v>
      </c>
      <c r="CJ48" s="7">
        <v>0.98078322671927498</v>
      </c>
      <c r="CK48" s="8">
        <v>534235.436666667</v>
      </c>
      <c r="CL48" s="8">
        <v>0.61105694330576199</v>
      </c>
      <c r="CM48" s="7">
        <v>654497.08666666702</v>
      </c>
      <c r="CN48" s="7">
        <v>0.214735718992483</v>
      </c>
    </row>
  </sheetData>
  <mergeCells count="25">
    <mergeCell ref="CE1:CF1"/>
    <mergeCell ref="CG1:CH1"/>
    <mergeCell ref="CI1:CJ1"/>
    <mergeCell ref="CK1:CL1"/>
    <mergeCell ref="CM1:CN1"/>
    <mergeCell ref="BM1:BP1"/>
    <mergeCell ref="BQ1:BT1"/>
    <mergeCell ref="BU1:BX1"/>
    <mergeCell ref="BY1:CB1"/>
    <mergeCell ref="CC1:CD1"/>
    <mergeCell ref="AS1:AV1"/>
    <mergeCell ref="AW1:AZ1"/>
    <mergeCell ref="BA1:BD1"/>
    <mergeCell ref="BE1:BH1"/>
    <mergeCell ref="BI1:BL1"/>
    <mergeCell ref="Y1:AB1"/>
    <mergeCell ref="AC1:AF1"/>
    <mergeCell ref="AG1:AJ1"/>
    <mergeCell ref="AK1:AN1"/>
    <mergeCell ref="AO1:AR1"/>
    <mergeCell ref="A1:G1"/>
    <mergeCell ref="I1:L1"/>
    <mergeCell ref="M1:P1"/>
    <mergeCell ref="Q1:T1"/>
    <mergeCell ref="U1:X1"/>
  </mergeCells>
  <conditionalFormatting sqref="K3:K48">
    <cfRule type="cellIs" dxfId="3" priority="2" operator="greaterThan">
      <formula>500</formula>
    </cfRule>
  </conditionalFormatting>
  <conditionalFormatting sqref="O1 S1 W1 AA1 AE1 AI1 AM1 AQ1 AU1 AY1 BC1 BG1 BK1 BO1 BS1 BW1 CA1 O3:O1048576 S3:S1048576 W3:W1048576 AA3:AA1048576 AE3:AE1048576 AI3:AI1048576 AM3:AM1048576 AQ3:AQ1048576 AU3:AU1048576 AY3:AY1048576 BC3:BC1048576 BG3:BG1048576 BK3:BK1048576 BO3:BO1048576 BS3:BS1048576 BW3:BW1048576 CA3:CA1048576">
    <cfRule type="cellIs" dxfId="2" priority="1" operator="greaterThan">
      <formula>500</formula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00000000-0002-0000-0000-000000000000}">
          <x14:formula1>
            <xm:f>ValueList_Helper!$A$1:$A$20</xm:f>
          </x14:formula1>
          <xm:sqref>E3:E48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BAE29-0F60-4A61-B210-E1611E7E0517}">
  <dimension ref="A1:BD49"/>
  <sheetViews>
    <sheetView tabSelected="1" topLeftCell="H12" zoomScale="85" zoomScaleNormal="85" workbookViewId="0">
      <selection activeCell="Q26" sqref="Q26"/>
    </sheetView>
  </sheetViews>
  <sheetFormatPr defaultColWidth="9.1796875" defaultRowHeight="14.5" x14ac:dyDescent="0.35"/>
  <cols>
    <col min="1" max="1" width="4" style="2" customWidth="1"/>
    <col min="2" max="2" width="4.26953125" style="2" customWidth="1"/>
    <col min="3" max="3" width="8.26953125" style="2" customWidth="1"/>
    <col min="4" max="4" width="21.1796875" style="2" customWidth="1"/>
    <col min="5" max="5" width="11" style="2" customWidth="1"/>
    <col min="6" max="6" width="5.81640625" style="2" customWidth="1"/>
    <col min="7" max="8" width="12.453125" style="2" customWidth="1"/>
    <col min="9" max="9" width="13.7265625" style="2" customWidth="1"/>
    <col min="10" max="10" width="9" style="2" customWidth="1"/>
    <col min="11" max="11" width="11" style="2" customWidth="1"/>
    <col min="12" max="12" width="8.7265625" style="2" customWidth="1"/>
    <col min="13" max="13" width="10.7265625" style="2" customWidth="1"/>
    <col min="14" max="14" width="9" style="2" customWidth="1"/>
    <col min="15" max="15" width="11" style="2" customWidth="1"/>
    <col min="16" max="16" width="8.7265625" style="2" customWidth="1"/>
    <col min="17" max="17" width="11.7265625" style="2" customWidth="1"/>
    <col min="18" max="18" width="9" style="2" customWidth="1"/>
    <col min="19" max="19" width="11" style="2" customWidth="1"/>
    <col min="20" max="20" width="8.7265625" style="2" customWidth="1"/>
    <col min="21" max="21" width="9.7265625" style="2" customWidth="1"/>
    <col min="22" max="22" width="9" style="2" customWidth="1"/>
    <col min="23" max="23" width="11" style="2" customWidth="1"/>
    <col min="24" max="25" width="8.7265625" style="2" customWidth="1"/>
    <col min="26" max="26" width="9" style="2" customWidth="1"/>
    <col min="27" max="27" width="11" style="2" customWidth="1"/>
    <col min="28" max="28" width="8.7265625" style="2" customWidth="1"/>
    <col min="29" max="29" width="9.7265625" style="2" customWidth="1"/>
    <col min="30" max="30" width="9" style="2" customWidth="1"/>
    <col min="31" max="31" width="11" style="2" customWidth="1"/>
    <col min="32" max="32" width="8.7265625" style="2" customWidth="1"/>
    <col min="33" max="33" width="10.7265625" style="2" customWidth="1"/>
    <col min="34" max="34" width="9" style="2" customWidth="1"/>
    <col min="35" max="35" width="11" style="2" customWidth="1"/>
    <col min="36" max="36" width="8.7265625" style="2" customWidth="1"/>
    <col min="37" max="37" width="10.7265625" style="2" customWidth="1"/>
    <col min="38" max="38" width="9" style="2" customWidth="1"/>
    <col min="39" max="39" width="11" style="2" customWidth="1"/>
    <col min="40" max="40" width="8.7265625" style="2" customWidth="1"/>
    <col min="41" max="41" width="12.7265625" style="2" customWidth="1"/>
    <col min="42" max="42" width="9" style="2" customWidth="1"/>
    <col min="43" max="43" width="11" style="2" customWidth="1"/>
    <col min="44" max="44" width="8.7265625" style="2" customWidth="1"/>
    <col min="45" max="45" width="11.7265625" style="2" customWidth="1"/>
    <col min="46" max="46" width="9" style="2" customWidth="1"/>
    <col min="47" max="47" width="11" style="2" customWidth="1"/>
    <col min="48" max="48" width="8.7265625" style="2" customWidth="1"/>
    <col min="49" max="49" width="10.7265625" style="2" customWidth="1"/>
    <col min="50" max="50" width="9" style="2" customWidth="1"/>
    <col min="51" max="51" width="11" style="2" customWidth="1"/>
    <col min="52" max="52" width="8.7265625" style="2" customWidth="1"/>
    <col min="57" max="57" width="10.7265625" style="2" customWidth="1"/>
    <col min="58" max="58" width="9" style="2" customWidth="1"/>
    <col min="59" max="59" width="11" style="2" customWidth="1"/>
    <col min="60" max="60" width="8.7265625" style="2" customWidth="1"/>
    <col min="61" max="61" width="10.7265625" style="2" customWidth="1"/>
    <col min="62" max="62" width="9" style="2" customWidth="1"/>
    <col min="63" max="63" width="11" style="2" customWidth="1"/>
    <col min="64" max="64" width="8.7265625" style="2" customWidth="1"/>
    <col min="65" max="65" width="11.7265625" style="2" customWidth="1"/>
    <col min="66" max="66" width="9" style="2" customWidth="1"/>
    <col min="67" max="67" width="11" style="2" customWidth="1"/>
    <col min="68" max="68" width="8.7265625" style="2" customWidth="1"/>
    <col min="69" max="69" width="10.7265625" style="2" customWidth="1"/>
    <col min="70" max="70" width="9" style="2" customWidth="1"/>
    <col min="71" max="71" width="11" style="2" customWidth="1"/>
    <col min="72" max="72" width="8.7265625" style="2" customWidth="1"/>
    <col min="73" max="73" width="10.7265625" style="2" customWidth="1"/>
    <col min="74" max="74" width="9" style="2" customWidth="1"/>
    <col min="75" max="75" width="11" style="2" customWidth="1"/>
    <col min="76" max="76" width="8.7265625" style="2" customWidth="1"/>
    <col min="77" max="77" width="12.7265625" style="2" customWidth="1"/>
    <col min="78" max="78" width="9" style="2" customWidth="1"/>
    <col min="79" max="79" width="11" style="2" customWidth="1"/>
    <col min="80" max="80" width="8.7265625" style="2" customWidth="1"/>
    <col min="81" max="81" width="10.7265625" style="2" customWidth="1"/>
    <col min="82" max="82" width="9" style="2" customWidth="1"/>
    <col min="83" max="83" width="9.7265625" style="2" customWidth="1"/>
    <col min="84" max="84" width="9" style="2" customWidth="1"/>
    <col min="85" max="85" width="11.7265625" style="2" customWidth="1"/>
    <col min="86" max="86" width="9" style="2" customWidth="1"/>
    <col min="87" max="87" width="10.7265625" style="2" customWidth="1"/>
    <col min="88" max="88" width="9" style="2" customWidth="1"/>
    <col min="89" max="89" width="10.7265625" style="2" customWidth="1"/>
    <col min="90" max="90" width="9" style="2" customWidth="1"/>
    <col min="91" max="91" width="10.7265625" style="2" customWidth="1"/>
    <col min="92" max="92" width="9" style="2" customWidth="1"/>
    <col min="93" max="16384" width="9.1796875" style="2"/>
  </cols>
  <sheetData>
    <row r="1" spans="1:56" ht="18" customHeight="1" x14ac:dyDescent="0.35">
      <c r="A1" s="17" t="s">
        <v>30</v>
      </c>
      <c r="B1" s="18"/>
      <c r="C1" s="18"/>
      <c r="D1" s="18"/>
      <c r="E1" s="18"/>
      <c r="F1" s="18"/>
      <c r="G1" s="19"/>
      <c r="H1" s="1"/>
      <c r="I1" s="10" t="s">
        <v>96</v>
      </c>
      <c r="J1" s="11"/>
      <c r="K1" s="11"/>
      <c r="L1" s="12"/>
      <c r="BA1" s="2"/>
      <c r="BB1" s="2"/>
      <c r="BC1" s="2"/>
      <c r="BD1" s="2"/>
    </row>
    <row r="2" spans="1:56" ht="18" customHeight="1" x14ac:dyDescent="0.35">
      <c r="A2" s="3" t="s">
        <v>133</v>
      </c>
      <c r="B2" s="3" t="s">
        <v>151</v>
      </c>
      <c r="C2" s="3" t="s">
        <v>61</v>
      </c>
      <c r="D2" s="3" t="s">
        <v>84</v>
      </c>
      <c r="E2" s="3" t="s">
        <v>78</v>
      </c>
      <c r="F2" s="3" t="s">
        <v>31</v>
      </c>
      <c r="G2" s="3" t="s">
        <v>128</v>
      </c>
      <c r="H2" s="3" t="s">
        <v>30</v>
      </c>
      <c r="I2" s="3" t="s">
        <v>58</v>
      </c>
      <c r="BA2" s="2"/>
      <c r="BB2" s="2"/>
      <c r="BC2" s="2"/>
      <c r="BD2" s="2"/>
    </row>
    <row r="3" spans="1:56" x14ac:dyDescent="0.35">
      <c r="A3" s="4"/>
      <c r="B3" s="4" t="b">
        <v>0</v>
      </c>
      <c r="C3" s="4" t="s">
        <v>80</v>
      </c>
      <c r="D3" s="5">
        <v>46212.457546296297</v>
      </c>
      <c r="E3" s="6" t="s">
        <v>30</v>
      </c>
      <c r="F3" s="7"/>
      <c r="G3" s="4" t="s">
        <v>1</v>
      </c>
      <c r="H3" s="4"/>
      <c r="I3" s="7"/>
      <c r="BA3" s="2"/>
      <c r="BB3" s="2"/>
      <c r="BC3" s="2"/>
      <c r="BD3" s="2"/>
    </row>
    <row r="4" spans="1:56" x14ac:dyDescent="0.35">
      <c r="A4" s="4"/>
      <c r="B4" s="4" t="b">
        <v>0</v>
      </c>
      <c r="C4" s="4" t="s">
        <v>115</v>
      </c>
      <c r="D4" s="5">
        <v>46212.4605787037</v>
      </c>
      <c r="E4" s="6" t="s">
        <v>49</v>
      </c>
      <c r="F4" s="7" t="s">
        <v>109</v>
      </c>
      <c r="G4" s="4" t="s">
        <v>137</v>
      </c>
      <c r="H4" s="4"/>
      <c r="I4" s="7">
        <v>0</v>
      </c>
      <c r="BA4" s="2"/>
      <c r="BB4" s="2"/>
      <c r="BC4" s="2"/>
      <c r="BD4" s="2"/>
    </row>
    <row r="5" spans="1:56" x14ac:dyDescent="0.35">
      <c r="A5" s="4"/>
      <c r="B5" s="4" t="b">
        <v>0</v>
      </c>
      <c r="C5" s="4" t="s">
        <v>12</v>
      </c>
      <c r="D5" s="5">
        <v>46212.463807870401</v>
      </c>
      <c r="E5" s="6" t="s">
        <v>90</v>
      </c>
      <c r="F5" s="7" t="s">
        <v>27</v>
      </c>
      <c r="G5" s="4" t="s">
        <v>147</v>
      </c>
      <c r="H5" s="4"/>
      <c r="I5" s="7">
        <v>5.6120813418606703</v>
      </c>
      <c r="BA5" s="2"/>
      <c r="BB5" s="2"/>
      <c r="BC5" s="2"/>
      <c r="BD5" s="2"/>
    </row>
    <row r="6" spans="1:56" x14ac:dyDescent="0.35">
      <c r="A6" s="4"/>
      <c r="B6" s="4" t="b">
        <v>0</v>
      </c>
      <c r="C6" s="4" t="s">
        <v>106</v>
      </c>
      <c r="D6" s="5">
        <v>46212.466932870397</v>
      </c>
      <c r="E6" s="6" t="s">
        <v>90</v>
      </c>
      <c r="F6" s="7" t="s">
        <v>71</v>
      </c>
      <c r="G6" s="4" t="s">
        <v>124</v>
      </c>
      <c r="H6" s="4"/>
      <c r="I6" s="7">
        <v>52.044233147440103</v>
      </c>
      <c r="BA6" s="2"/>
      <c r="BB6" s="2"/>
      <c r="BC6" s="2"/>
      <c r="BD6" s="2"/>
    </row>
    <row r="7" spans="1:56" x14ac:dyDescent="0.35">
      <c r="A7" s="4"/>
      <c r="B7" s="4" t="b">
        <v>0</v>
      </c>
      <c r="C7" s="4" t="s">
        <v>111</v>
      </c>
      <c r="D7" s="5">
        <v>46212.470162037003</v>
      </c>
      <c r="E7" s="6" t="s">
        <v>90</v>
      </c>
      <c r="F7" s="7" t="s">
        <v>140</v>
      </c>
      <c r="G7" s="4" t="s">
        <v>44</v>
      </c>
      <c r="H7" s="4"/>
      <c r="I7" s="7">
        <v>109.70267902320801</v>
      </c>
      <c r="BA7" s="2"/>
      <c r="BB7" s="2"/>
      <c r="BC7" s="2"/>
      <c r="BD7" s="2"/>
    </row>
    <row r="8" spans="1:56" x14ac:dyDescent="0.35">
      <c r="A8" s="4"/>
      <c r="B8" s="4" t="b">
        <v>0</v>
      </c>
      <c r="C8" s="4" t="s">
        <v>28</v>
      </c>
      <c r="D8" s="5">
        <v>46212.473275463002</v>
      </c>
      <c r="E8" s="6" t="s">
        <v>90</v>
      </c>
      <c r="F8" s="7" t="s">
        <v>147</v>
      </c>
      <c r="G8" s="4" t="s">
        <v>118</v>
      </c>
      <c r="H8" s="4"/>
      <c r="I8" s="7">
        <v>187.88122844152801</v>
      </c>
      <c r="O8" s="16"/>
      <c r="P8" s="16"/>
      <c r="Q8" s="16"/>
      <c r="R8" s="16"/>
      <c r="S8" s="16"/>
      <c r="BA8" s="2"/>
      <c r="BB8" s="2"/>
      <c r="BC8" s="2"/>
      <c r="BD8" s="2"/>
    </row>
    <row r="9" spans="1:56" x14ac:dyDescent="0.35">
      <c r="A9" s="4"/>
      <c r="B9" s="4" t="b">
        <v>0</v>
      </c>
      <c r="C9" s="4" t="s">
        <v>70</v>
      </c>
      <c r="D9" s="5">
        <v>46212.476481481499</v>
      </c>
      <c r="E9" s="6" t="s">
        <v>90</v>
      </c>
      <c r="F9" s="7" t="s">
        <v>141</v>
      </c>
      <c r="G9" s="4" t="s">
        <v>82</v>
      </c>
      <c r="H9" s="4"/>
      <c r="I9" s="7">
        <v>502.69642869058498</v>
      </c>
      <c r="O9" s="16"/>
      <c r="P9" s="16"/>
      <c r="Q9" s="16"/>
      <c r="R9" s="16"/>
      <c r="S9" s="16"/>
      <c r="BA9" s="2"/>
      <c r="BB9" s="2"/>
      <c r="BC9" s="2"/>
      <c r="BD9" s="2"/>
    </row>
    <row r="10" spans="1:56" x14ac:dyDescent="0.35">
      <c r="A10" s="4"/>
      <c r="B10" s="4" t="b">
        <v>0</v>
      </c>
      <c r="C10" s="4" t="s">
        <v>104</v>
      </c>
      <c r="D10" s="5">
        <v>46212.479583333297</v>
      </c>
      <c r="E10" s="6" t="s">
        <v>30</v>
      </c>
      <c r="F10" s="7"/>
      <c r="G10" s="4" t="s">
        <v>55</v>
      </c>
      <c r="H10" s="4"/>
      <c r="I10" s="7">
        <v>0.34242142967646699</v>
      </c>
      <c r="L10" s="2" t="s">
        <v>193</v>
      </c>
      <c r="M10" s="2" t="s">
        <v>191</v>
      </c>
      <c r="O10" s="16"/>
      <c r="S10" s="16"/>
      <c r="BA10" s="2"/>
      <c r="BB10" s="2"/>
      <c r="BC10" s="2"/>
      <c r="BD10" s="2"/>
    </row>
    <row r="11" spans="1:56" x14ac:dyDescent="0.35">
      <c r="A11" s="4"/>
      <c r="B11" s="4" t="b">
        <v>0</v>
      </c>
      <c r="C11" s="4" t="s">
        <v>45</v>
      </c>
      <c r="D11" s="5">
        <v>46212.482696759304</v>
      </c>
      <c r="E11" s="6" t="s">
        <v>30</v>
      </c>
      <c r="F11" s="7"/>
      <c r="G11" s="4" t="s">
        <v>92</v>
      </c>
      <c r="H11" t="s">
        <v>154</v>
      </c>
      <c r="I11" s="7">
        <v>2256.9020594221001</v>
      </c>
      <c r="J11" s="13"/>
      <c r="K11" s="14" t="s">
        <v>190</v>
      </c>
      <c r="L11" s="13">
        <f>AVERAGE(I11:I13)</f>
        <v>2386.0921542199835</v>
      </c>
      <c r="M11" s="13">
        <f>STDEV(I11:I13)</f>
        <v>177.7386391048517</v>
      </c>
      <c r="O11" s="16"/>
      <c r="S11" s="16"/>
      <c r="BA11" s="2"/>
      <c r="BB11" s="2"/>
      <c r="BC11" s="2"/>
      <c r="BD11" s="2"/>
    </row>
    <row r="12" spans="1:56" x14ac:dyDescent="0.35">
      <c r="A12" s="4"/>
      <c r="B12" s="4" t="b">
        <v>0</v>
      </c>
      <c r="C12" s="4" t="s">
        <v>48</v>
      </c>
      <c r="D12" s="5">
        <v>46212.485694444404</v>
      </c>
      <c r="E12" s="6" t="s">
        <v>30</v>
      </c>
      <c r="F12" s="7"/>
      <c r="G12" s="4" t="s">
        <v>76</v>
      </c>
      <c r="H12" t="s">
        <v>155</v>
      </c>
      <c r="I12" s="7">
        <v>2588.7939117579699</v>
      </c>
      <c r="J12" s="13"/>
      <c r="K12" s="13"/>
      <c r="L12" s="13"/>
      <c r="M12" s="13"/>
      <c r="O12" s="16"/>
      <c r="S12" s="16"/>
      <c r="BA12" s="2"/>
      <c r="BB12" s="2"/>
      <c r="BC12" s="2"/>
      <c r="BD12" s="2"/>
    </row>
    <row r="13" spans="1:56" x14ac:dyDescent="0.35">
      <c r="A13" s="4"/>
      <c r="B13" s="4" t="b">
        <v>0</v>
      </c>
      <c r="C13" s="4" t="s">
        <v>116</v>
      </c>
      <c r="D13" s="5">
        <v>46212.488784722198</v>
      </c>
      <c r="E13" s="6" t="s">
        <v>30</v>
      </c>
      <c r="F13" s="7"/>
      <c r="G13" s="4" t="s">
        <v>64</v>
      </c>
      <c r="H13" t="s">
        <v>156</v>
      </c>
      <c r="I13" s="7">
        <v>2312.58049147988</v>
      </c>
      <c r="J13" s="13"/>
      <c r="K13" s="13"/>
      <c r="L13" s="13"/>
      <c r="M13" s="13"/>
      <c r="O13" s="16"/>
      <c r="S13" s="16"/>
      <c r="BA13" s="2"/>
      <c r="BB13" s="2"/>
      <c r="BC13" s="2"/>
      <c r="BD13" s="2"/>
    </row>
    <row r="14" spans="1:56" x14ac:dyDescent="0.35">
      <c r="A14" s="4"/>
      <c r="B14" s="4" t="b">
        <v>0</v>
      </c>
      <c r="C14" s="4" t="s">
        <v>95</v>
      </c>
      <c r="D14" s="5">
        <v>46212.491770833301</v>
      </c>
      <c r="E14" s="6" t="s">
        <v>30</v>
      </c>
      <c r="F14" s="7"/>
      <c r="G14" s="4" t="s">
        <v>113</v>
      </c>
      <c r="H14" t="s">
        <v>157</v>
      </c>
      <c r="I14" s="7">
        <v>378.48981134949702</v>
      </c>
      <c r="K14" s="2" t="s">
        <v>192</v>
      </c>
      <c r="L14" s="2">
        <f>AVERAGE(I14:I16)</f>
        <v>568.58112545418237</v>
      </c>
      <c r="M14" s="2">
        <f>STDEV(I14:I16)</f>
        <v>165.24793068557088</v>
      </c>
      <c r="O14" s="16"/>
      <c r="S14" s="16"/>
      <c r="BA14" s="2"/>
      <c r="BB14" s="2"/>
      <c r="BC14" s="2"/>
      <c r="BD14" s="2"/>
    </row>
    <row r="15" spans="1:56" x14ac:dyDescent="0.35">
      <c r="A15" s="4"/>
      <c r="B15" s="4" t="b">
        <v>0</v>
      </c>
      <c r="C15" s="4" t="s">
        <v>57</v>
      </c>
      <c r="D15" s="5">
        <v>46212.494895833297</v>
      </c>
      <c r="E15" s="6" t="s">
        <v>30</v>
      </c>
      <c r="F15" s="7"/>
      <c r="G15" s="4" t="s">
        <v>83</v>
      </c>
      <c r="H15" t="s">
        <v>158</v>
      </c>
      <c r="I15" s="7">
        <v>649.279384751924</v>
      </c>
      <c r="O15" s="16"/>
      <c r="P15" s="16"/>
      <c r="Q15" s="16"/>
      <c r="R15" s="16"/>
      <c r="S15" s="16"/>
      <c r="BA15" s="2"/>
      <c r="BB15" s="2"/>
      <c r="BC15" s="2"/>
      <c r="BD15" s="2"/>
    </row>
    <row r="16" spans="1:56" x14ac:dyDescent="0.35">
      <c r="A16" s="4"/>
      <c r="B16" s="4" t="b">
        <v>0</v>
      </c>
      <c r="C16" s="4" t="s">
        <v>146</v>
      </c>
      <c r="D16" s="5">
        <v>46212.497916666704</v>
      </c>
      <c r="E16" s="6" t="s">
        <v>30</v>
      </c>
      <c r="F16" s="7"/>
      <c r="G16" s="4" t="s">
        <v>77</v>
      </c>
      <c r="H16" t="s">
        <v>159</v>
      </c>
      <c r="I16" s="7">
        <v>677.97418026112598</v>
      </c>
      <c r="O16" s="16"/>
      <c r="P16" s="16"/>
      <c r="Q16" s="16"/>
      <c r="R16" s="16"/>
      <c r="S16" s="16"/>
      <c r="BA16" s="2"/>
      <c r="BB16" s="2"/>
      <c r="BC16" s="2"/>
      <c r="BD16" s="2"/>
    </row>
    <row r="17" spans="1:56" x14ac:dyDescent="0.35">
      <c r="A17" s="4"/>
      <c r="B17" s="4" t="b">
        <v>0</v>
      </c>
      <c r="C17" s="4" t="s">
        <v>16</v>
      </c>
      <c r="D17" s="5">
        <v>46212.501041666699</v>
      </c>
      <c r="E17" s="6" t="s">
        <v>30</v>
      </c>
      <c r="F17" s="7"/>
      <c r="G17" s="4" t="s">
        <v>138</v>
      </c>
      <c r="H17" t="s">
        <v>160</v>
      </c>
      <c r="I17" s="7">
        <v>2591.1176767953398</v>
      </c>
      <c r="J17" s="13"/>
      <c r="K17" s="14" t="s">
        <v>194</v>
      </c>
      <c r="L17" s="13">
        <f>SUM(I17:I19)/3</f>
        <v>2673.9387175139432</v>
      </c>
      <c r="M17" s="13">
        <f>STDEV(I17:I19)</f>
        <v>80.034624057638624</v>
      </c>
      <c r="P17" s="15"/>
      <c r="Q17" s="15"/>
      <c r="R17" s="15"/>
      <c r="BA17" s="2"/>
      <c r="BB17" s="2"/>
      <c r="BC17" s="2"/>
      <c r="BD17" s="2"/>
    </row>
    <row r="18" spans="1:56" x14ac:dyDescent="0.35">
      <c r="A18" s="4"/>
      <c r="B18" s="4" t="b">
        <v>0</v>
      </c>
      <c r="C18" s="4" t="s">
        <v>47</v>
      </c>
      <c r="D18" s="5">
        <v>46212.504027777803</v>
      </c>
      <c r="E18" s="6" t="s">
        <v>30</v>
      </c>
      <c r="F18" s="7"/>
      <c r="G18" s="4" t="s">
        <v>62</v>
      </c>
      <c r="H18" t="s">
        <v>161</v>
      </c>
      <c r="I18" s="7">
        <v>2679.8380078359301</v>
      </c>
      <c r="J18" s="13"/>
      <c r="K18" s="13"/>
      <c r="L18" s="13"/>
      <c r="M18" s="13"/>
      <c r="P18" s="15"/>
      <c r="Q18" s="15"/>
      <c r="R18" s="15"/>
      <c r="BA18" s="2"/>
      <c r="BB18" s="2"/>
      <c r="BC18" s="2"/>
      <c r="BD18" s="2"/>
    </row>
    <row r="19" spans="1:56" x14ac:dyDescent="0.35">
      <c r="A19" s="4"/>
      <c r="B19" s="4" t="b">
        <v>0</v>
      </c>
      <c r="C19" s="4" t="s">
        <v>6</v>
      </c>
      <c r="D19" s="5">
        <v>46212.507118055597</v>
      </c>
      <c r="E19" s="6" t="s">
        <v>30</v>
      </c>
      <c r="F19" s="7"/>
      <c r="G19" s="4" t="s">
        <v>135</v>
      </c>
      <c r="H19" t="s">
        <v>162</v>
      </c>
      <c r="I19" s="7">
        <v>2750.8604679105601</v>
      </c>
      <c r="J19" s="13"/>
      <c r="K19" s="13"/>
      <c r="L19" s="13"/>
      <c r="M19" s="13"/>
      <c r="P19" s="15"/>
      <c r="Q19" s="15"/>
      <c r="R19" s="15"/>
      <c r="BA19" s="2"/>
      <c r="BB19" s="2"/>
      <c r="BC19" s="2"/>
      <c r="BD19" s="2"/>
    </row>
    <row r="20" spans="1:56" x14ac:dyDescent="0.35">
      <c r="A20" s="4"/>
      <c r="B20" s="4" t="b">
        <v>0</v>
      </c>
      <c r="C20" s="4" t="s">
        <v>144</v>
      </c>
      <c r="D20" s="5">
        <v>46212.510115740697</v>
      </c>
      <c r="E20" s="6" t="s">
        <v>30</v>
      </c>
      <c r="F20" s="7"/>
      <c r="G20" s="4" t="s">
        <v>17</v>
      </c>
      <c r="H20" t="s">
        <v>163</v>
      </c>
      <c r="I20" s="7">
        <v>2885.6331358268199</v>
      </c>
      <c r="K20" t="s">
        <v>195</v>
      </c>
      <c r="L20" s="2">
        <f>AVERAGE(I20:I22)</f>
        <v>2682.0768637261367</v>
      </c>
      <c r="M20" s="2">
        <f>STDEV(I20:I22)</f>
        <v>271.23404112347714</v>
      </c>
      <c r="P20" s="16" t="s">
        <v>190</v>
      </c>
      <c r="Q20" s="16">
        <v>2386.0921542199835</v>
      </c>
      <c r="R20" s="16">
        <v>177.7386391048517</v>
      </c>
      <c r="BA20" s="2"/>
      <c r="BB20" s="2"/>
      <c r="BC20" s="2"/>
      <c r="BD20" s="2"/>
    </row>
    <row r="21" spans="1:56" x14ac:dyDescent="0.35">
      <c r="A21" s="4"/>
      <c r="B21" s="4" t="b">
        <v>0</v>
      </c>
      <c r="C21" s="4" t="s">
        <v>50</v>
      </c>
      <c r="D21" s="5">
        <v>46212.513206018499</v>
      </c>
      <c r="E21" s="6" t="s">
        <v>30</v>
      </c>
      <c r="F21" s="7"/>
      <c r="G21" s="4" t="s">
        <v>4</v>
      </c>
      <c r="H21" t="s">
        <v>164</v>
      </c>
      <c r="I21" s="7">
        <v>2374.16397046458</v>
      </c>
      <c r="P21" s="16" t="s">
        <v>192</v>
      </c>
      <c r="Q21" s="16">
        <v>568.58112545418237</v>
      </c>
      <c r="R21" s="16">
        <v>165.24793068557088</v>
      </c>
      <c r="BA21" s="2"/>
      <c r="BB21" s="2"/>
      <c r="BC21" s="2"/>
      <c r="BD21" s="2"/>
    </row>
    <row r="22" spans="1:56" x14ac:dyDescent="0.35">
      <c r="A22" s="4"/>
      <c r="B22" s="4" t="b">
        <v>0</v>
      </c>
      <c r="C22" s="4" t="s">
        <v>142</v>
      </c>
      <c r="D22" s="5">
        <v>46212.516192129602</v>
      </c>
      <c r="E22" s="6" t="s">
        <v>30</v>
      </c>
      <c r="F22" s="7"/>
      <c r="G22" s="4" t="s">
        <v>102</v>
      </c>
      <c r="H22" t="s">
        <v>165</v>
      </c>
      <c r="I22" s="7">
        <v>2786.4334848870099</v>
      </c>
      <c r="P22" s="16" t="s">
        <v>194</v>
      </c>
      <c r="Q22" s="16">
        <v>2673.9387175139432</v>
      </c>
      <c r="R22" s="16">
        <v>80.034624057638624</v>
      </c>
      <c r="BA22" s="2"/>
      <c r="BB22" s="2"/>
      <c r="BC22" s="2"/>
      <c r="BD22" s="2"/>
    </row>
    <row r="23" spans="1:56" x14ac:dyDescent="0.35">
      <c r="A23" s="4"/>
      <c r="B23" s="4" t="b">
        <v>0</v>
      </c>
      <c r="C23" s="4" t="s">
        <v>42</v>
      </c>
      <c r="D23" s="5">
        <v>46212.519293981502</v>
      </c>
      <c r="E23" s="6" t="s">
        <v>30</v>
      </c>
      <c r="F23" s="7"/>
      <c r="G23" s="4" t="s">
        <v>79</v>
      </c>
      <c r="H23" t="s">
        <v>166</v>
      </c>
      <c r="I23" s="7">
        <v>4270.33770766625</v>
      </c>
      <c r="J23" s="13"/>
      <c r="K23" t="s">
        <v>196</v>
      </c>
      <c r="L23" s="13">
        <f>AVERAGE(I23:I25)</f>
        <v>4275.8329846862698</v>
      </c>
      <c r="M23" s="13">
        <f>STDEV(I23:I25)</f>
        <v>226.77913885469502</v>
      </c>
      <c r="P23" s="16" t="s">
        <v>195</v>
      </c>
      <c r="Q23" s="16">
        <v>2682.0768637261367</v>
      </c>
      <c r="R23" s="16">
        <v>271.23404112347714</v>
      </c>
      <c r="BA23" s="2"/>
      <c r="BB23" s="2"/>
      <c r="BC23" s="2"/>
      <c r="BD23" s="2"/>
    </row>
    <row r="24" spans="1:56" x14ac:dyDescent="0.35">
      <c r="A24" s="4"/>
      <c r="B24" s="4" t="b">
        <v>0</v>
      </c>
      <c r="C24" s="4" t="s">
        <v>74</v>
      </c>
      <c r="D24" s="5">
        <v>46212.522280092599</v>
      </c>
      <c r="E24" s="6" t="s">
        <v>30</v>
      </c>
      <c r="F24" s="7"/>
      <c r="G24" s="4" t="s">
        <v>150</v>
      </c>
      <c r="H24" t="s">
        <v>167</v>
      </c>
      <c r="I24" s="7">
        <v>4505.3098212884797</v>
      </c>
      <c r="J24" s="13"/>
      <c r="K24" s="13"/>
      <c r="L24" s="13"/>
      <c r="M24" s="13"/>
      <c r="P24" s="16" t="s">
        <v>196</v>
      </c>
      <c r="Q24" s="16">
        <v>4275.8329846862698</v>
      </c>
      <c r="R24" s="16">
        <v>226.77913885469502</v>
      </c>
      <c r="BA24" s="2"/>
      <c r="BB24" s="2"/>
      <c r="BC24" s="2"/>
      <c r="BD24" s="2"/>
    </row>
    <row r="25" spans="1:56" x14ac:dyDescent="0.35">
      <c r="A25" s="4"/>
      <c r="B25" s="4" t="b">
        <v>0</v>
      </c>
      <c r="C25" s="4" t="s">
        <v>127</v>
      </c>
      <c r="D25" s="5">
        <v>46212.525358796302</v>
      </c>
      <c r="E25" s="6" t="s">
        <v>30</v>
      </c>
      <c r="F25" s="7"/>
      <c r="G25" s="4" t="s">
        <v>114</v>
      </c>
      <c r="H25" t="s">
        <v>168</v>
      </c>
      <c r="I25" s="7">
        <v>4051.8514251040801</v>
      </c>
      <c r="J25" s="13"/>
      <c r="K25" s="13"/>
      <c r="L25" s="13"/>
      <c r="M25" s="13"/>
      <c r="BA25" s="2"/>
      <c r="BB25" s="2"/>
      <c r="BC25" s="2"/>
      <c r="BD25" s="2"/>
    </row>
    <row r="26" spans="1:56" x14ac:dyDescent="0.35">
      <c r="A26" s="4"/>
      <c r="B26" s="4" t="b">
        <v>0</v>
      </c>
      <c r="C26" s="4" t="s">
        <v>99</v>
      </c>
      <c r="D26" s="5">
        <v>46212.528344907398</v>
      </c>
      <c r="E26" s="6" t="s">
        <v>30</v>
      </c>
      <c r="F26" s="7"/>
      <c r="G26" s="4" t="s">
        <v>145</v>
      </c>
      <c r="H26" t="s">
        <v>169</v>
      </c>
      <c r="I26" s="7">
        <v>1273.8039593846299</v>
      </c>
      <c r="K26" t="s">
        <v>197</v>
      </c>
      <c r="L26" s="2">
        <f>AVERAGE(I26:I28)</f>
        <v>7285.9933234311566</v>
      </c>
      <c r="M26" s="2">
        <f>STDEV(I26:I28)</f>
        <v>5733.3234524874633</v>
      </c>
      <c r="BA26" s="2"/>
      <c r="BB26" s="2"/>
      <c r="BC26" s="2"/>
      <c r="BD26" s="2"/>
    </row>
    <row r="27" spans="1:56" x14ac:dyDescent="0.35">
      <c r="A27" s="4"/>
      <c r="B27" s="4" t="b">
        <v>0</v>
      </c>
      <c r="C27" s="4" t="s">
        <v>103</v>
      </c>
      <c r="D27" s="5">
        <v>46212.531446759298</v>
      </c>
      <c r="E27" s="6" t="s">
        <v>30</v>
      </c>
      <c r="F27" s="7"/>
      <c r="G27" s="4" t="s">
        <v>69</v>
      </c>
      <c r="H27" t="s">
        <v>170</v>
      </c>
      <c r="I27" s="7">
        <v>12692.3342634407</v>
      </c>
      <c r="BA27" s="2"/>
      <c r="BB27" s="2"/>
      <c r="BC27" s="2"/>
      <c r="BD27" s="2"/>
    </row>
    <row r="28" spans="1:56" x14ac:dyDescent="0.35">
      <c r="A28" s="4"/>
      <c r="B28" s="4" t="b">
        <v>0</v>
      </c>
      <c r="C28" s="4" t="s">
        <v>97</v>
      </c>
      <c r="D28" s="5">
        <v>46212.534456018497</v>
      </c>
      <c r="E28" s="6" t="s">
        <v>30</v>
      </c>
      <c r="F28" s="7"/>
      <c r="G28" s="4" t="s">
        <v>13</v>
      </c>
      <c r="H28" t="s">
        <v>171</v>
      </c>
      <c r="I28" s="7">
        <v>7891.8417474681401</v>
      </c>
      <c r="P28" s="2" t="s">
        <v>197</v>
      </c>
      <c r="Q28" s="2">
        <v>7285.9933234311566</v>
      </c>
      <c r="R28" s="2">
        <v>5733.3234524874633</v>
      </c>
      <c r="BA28" s="2"/>
      <c r="BB28" s="2"/>
      <c r="BC28" s="2"/>
      <c r="BD28" s="2"/>
    </row>
    <row r="29" spans="1:56" x14ac:dyDescent="0.35">
      <c r="A29" s="4"/>
      <c r="B29" s="4" t="b">
        <v>0</v>
      </c>
      <c r="C29" s="4" t="s">
        <v>107</v>
      </c>
      <c r="D29" s="5">
        <v>46212.537557870397</v>
      </c>
      <c r="E29" s="6" t="s">
        <v>30</v>
      </c>
      <c r="F29" s="7"/>
      <c r="G29" s="4" t="s">
        <v>149</v>
      </c>
      <c r="H29" t="s">
        <v>172</v>
      </c>
      <c r="I29" s="7">
        <v>268.713213237547</v>
      </c>
      <c r="J29" s="13"/>
      <c r="K29" t="s">
        <v>198</v>
      </c>
      <c r="L29" s="13">
        <f>AVERAGE(I29:I31)</f>
        <v>259.44966278273836</v>
      </c>
      <c r="M29" s="13">
        <f>STDEV(I29:I31)</f>
        <v>10.043524173122682</v>
      </c>
      <c r="P29" s="2" t="s">
        <v>198</v>
      </c>
      <c r="Q29" s="2">
        <v>259.44966278273836</v>
      </c>
      <c r="R29" s="2">
        <v>10.043524173122682</v>
      </c>
      <c r="BA29" s="2"/>
      <c r="BB29" s="2"/>
      <c r="BC29" s="2"/>
      <c r="BD29" s="2"/>
    </row>
    <row r="30" spans="1:56" x14ac:dyDescent="0.35">
      <c r="A30" s="4"/>
      <c r="B30" s="4" t="b">
        <v>0</v>
      </c>
      <c r="C30" s="4" t="s">
        <v>37</v>
      </c>
      <c r="D30" s="5">
        <v>46212.540567129603</v>
      </c>
      <c r="E30" s="6" t="s">
        <v>30</v>
      </c>
      <c r="F30" s="7"/>
      <c r="G30" s="4" t="s">
        <v>120</v>
      </c>
      <c r="H30" t="s">
        <v>173</v>
      </c>
      <c r="I30" s="7">
        <v>248.775342351158</v>
      </c>
      <c r="J30" s="13"/>
      <c r="K30" s="13"/>
      <c r="L30" s="13"/>
      <c r="M30" s="13"/>
      <c r="P30" s="2" t="s">
        <v>199</v>
      </c>
      <c r="Q30" s="2">
        <v>5379.9763479070925</v>
      </c>
      <c r="R30" s="2">
        <v>5718.9571031814585</v>
      </c>
      <c r="BA30" s="2"/>
      <c r="BB30" s="2"/>
      <c r="BC30" s="2"/>
      <c r="BD30" s="2"/>
    </row>
    <row r="31" spans="1:56" x14ac:dyDescent="0.35">
      <c r="A31" s="4"/>
      <c r="B31" s="4" t="b">
        <v>0</v>
      </c>
      <c r="C31" s="4" t="s">
        <v>23</v>
      </c>
      <c r="D31" s="5">
        <v>46212.543692129599</v>
      </c>
      <c r="E31" s="6" t="s">
        <v>30</v>
      </c>
      <c r="F31" s="7"/>
      <c r="G31" s="4" t="s">
        <v>26</v>
      </c>
      <c r="H31" t="s">
        <v>174</v>
      </c>
      <c r="I31" s="7">
        <v>260.86043275950999</v>
      </c>
      <c r="J31" s="13"/>
      <c r="K31" s="13"/>
      <c r="L31" s="13"/>
      <c r="M31" s="13"/>
      <c r="P31" s="2" t="s">
        <v>200</v>
      </c>
      <c r="Q31" s="2">
        <v>27330.206694477001</v>
      </c>
      <c r="R31" s="2">
        <v>13424.017505109041</v>
      </c>
      <c r="BA31" s="2"/>
      <c r="BB31" s="2"/>
      <c r="BC31" s="2"/>
      <c r="BD31" s="2"/>
    </row>
    <row r="32" spans="1:56" x14ac:dyDescent="0.35">
      <c r="A32" s="4"/>
      <c r="B32" s="4" t="b">
        <v>0</v>
      </c>
      <c r="C32" s="4" t="s">
        <v>60</v>
      </c>
      <c r="D32" s="5">
        <v>46212.546689814801</v>
      </c>
      <c r="E32" s="6" t="s">
        <v>30</v>
      </c>
      <c r="F32" s="7"/>
      <c r="G32" s="4" t="s">
        <v>139</v>
      </c>
      <c r="H32" t="s">
        <v>175</v>
      </c>
      <c r="I32" s="7">
        <v>11697.554546081899</v>
      </c>
      <c r="K32" t="s">
        <v>199</v>
      </c>
      <c r="L32" s="2">
        <f>AVERAGE(I32:I34)</f>
        <v>5379.9763479070925</v>
      </c>
      <c r="M32" s="2">
        <f>STDEV(I32:I34)</f>
        <v>5718.9571031814585</v>
      </c>
      <c r="P32" s="2" t="s">
        <v>201</v>
      </c>
      <c r="Q32" s="2">
        <v>23070.622059567901</v>
      </c>
      <c r="R32" s="2">
        <v>17349.948945046573</v>
      </c>
      <c r="BA32" s="2"/>
      <c r="BB32" s="2"/>
      <c r="BC32" s="2"/>
      <c r="BD32" s="2"/>
    </row>
    <row r="33" spans="1:56" x14ac:dyDescent="0.35">
      <c r="A33" s="4"/>
      <c r="B33" s="4" t="b">
        <v>0</v>
      </c>
      <c r="C33" s="4" t="s">
        <v>29</v>
      </c>
      <c r="D33" s="5">
        <v>46212.549791666701</v>
      </c>
      <c r="E33" s="6" t="s">
        <v>30</v>
      </c>
      <c r="F33" s="7"/>
      <c r="G33" s="4" t="s">
        <v>89</v>
      </c>
      <c r="H33" t="s">
        <v>176</v>
      </c>
      <c r="I33" s="7">
        <v>556.06724398837798</v>
      </c>
      <c r="BA33" s="2"/>
      <c r="BB33" s="2"/>
      <c r="BC33" s="2"/>
      <c r="BD33" s="2"/>
    </row>
    <row r="34" spans="1:56" x14ac:dyDescent="0.35">
      <c r="A34" s="4"/>
      <c r="B34" s="4" t="b">
        <v>0</v>
      </c>
      <c r="C34" s="4" t="s">
        <v>125</v>
      </c>
      <c r="D34" s="5">
        <v>46212.5528009259</v>
      </c>
      <c r="E34" s="6" t="s">
        <v>30</v>
      </c>
      <c r="F34" s="7"/>
      <c r="G34" s="4" t="s">
        <v>152</v>
      </c>
      <c r="H34" t="s">
        <v>177</v>
      </c>
      <c r="I34" s="7">
        <v>3886.3072536509999</v>
      </c>
      <c r="BA34" s="2"/>
      <c r="BB34" s="2"/>
      <c r="BC34" s="2"/>
      <c r="BD34" s="2"/>
    </row>
    <row r="35" spans="1:56" x14ac:dyDescent="0.35">
      <c r="A35" s="4"/>
      <c r="B35" s="4" t="b">
        <v>0</v>
      </c>
      <c r="C35" s="4" t="s">
        <v>75</v>
      </c>
      <c r="D35" s="5">
        <v>46212.555891203701</v>
      </c>
      <c r="E35" s="6" t="s">
        <v>30</v>
      </c>
      <c r="F35" s="7"/>
      <c r="G35" s="4" t="s">
        <v>153</v>
      </c>
      <c r="H35" t="s">
        <v>178</v>
      </c>
      <c r="I35" s="7">
        <v>39499.327907414503</v>
      </c>
      <c r="J35" s="13"/>
      <c r="K35" t="s">
        <v>200</v>
      </c>
      <c r="L35" s="13">
        <f>AVERAGE(I35:I37)</f>
        <v>27330.206694477001</v>
      </c>
      <c r="M35" s="13">
        <f>STDEV(I35:I37)</f>
        <v>13424.017505109041</v>
      </c>
      <c r="BA35" s="2"/>
      <c r="BB35" s="2"/>
      <c r="BC35" s="2"/>
      <c r="BD35" s="2"/>
    </row>
    <row r="36" spans="1:56" x14ac:dyDescent="0.35">
      <c r="A36" s="4"/>
      <c r="B36" s="4" t="b">
        <v>0</v>
      </c>
      <c r="C36" s="4" t="s">
        <v>19</v>
      </c>
      <c r="D36" s="5">
        <v>46212.558877314797</v>
      </c>
      <c r="E36" s="6" t="s">
        <v>30</v>
      </c>
      <c r="F36" s="7"/>
      <c r="G36" s="4" t="s">
        <v>52</v>
      </c>
      <c r="H36" t="s">
        <v>179</v>
      </c>
      <c r="I36" s="7">
        <v>12930.6829097314</v>
      </c>
      <c r="J36" s="13"/>
      <c r="K36" s="13"/>
      <c r="L36" s="13"/>
      <c r="M36" s="13"/>
      <c r="BA36" s="2"/>
      <c r="BB36" s="2"/>
      <c r="BC36" s="2"/>
      <c r="BD36" s="2"/>
    </row>
    <row r="37" spans="1:56" x14ac:dyDescent="0.35">
      <c r="A37" s="4"/>
      <c r="B37" s="4" t="b">
        <v>0</v>
      </c>
      <c r="C37" s="4" t="s">
        <v>93</v>
      </c>
      <c r="D37" s="5">
        <v>46212.561979166698</v>
      </c>
      <c r="E37" s="6" t="s">
        <v>30</v>
      </c>
      <c r="F37" s="7"/>
      <c r="G37" s="4" t="s">
        <v>68</v>
      </c>
      <c r="H37" t="s">
        <v>180</v>
      </c>
      <c r="I37" s="7">
        <v>29560.609266285101</v>
      </c>
      <c r="J37" s="13"/>
      <c r="K37" s="13"/>
      <c r="L37" s="13"/>
      <c r="M37" s="13"/>
      <c r="BA37" s="2"/>
      <c r="BB37" s="2"/>
      <c r="BC37" s="2"/>
      <c r="BD37" s="2"/>
    </row>
    <row r="38" spans="1:56" x14ac:dyDescent="0.35">
      <c r="A38" s="4"/>
      <c r="B38" s="4" t="b">
        <v>0</v>
      </c>
      <c r="C38" s="4" t="s">
        <v>131</v>
      </c>
      <c r="D38" s="5">
        <v>46212.564965277801</v>
      </c>
      <c r="E38" s="6" t="s">
        <v>30</v>
      </c>
      <c r="F38" s="7"/>
      <c r="G38" s="4" t="s">
        <v>86</v>
      </c>
      <c r="H38" t="s">
        <v>181</v>
      </c>
      <c r="I38" s="7">
        <v>14234.7123770569</v>
      </c>
      <c r="K38" t="s">
        <v>202</v>
      </c>
      <c r="L38" s="2">
        <f>AVERAGE(I38:I40)</f>
        <v>23070.622059567901</v>
      </c>
      <c r="M38" s="2">
        <f>STDEV(I38:I40)</f>
        <v>17349.948945046573</v>
      </c>
      <c r="BA38" s="2"/>
      <c r="BB38" s="2"/>
      <c r="BC38" s="2"/>
      <c r="BD38" s="2"/>
    </row>
    <row r="39" spans="1:56" x14ac:dyDescent="0.35">
      <c r="A39" s="4"/>
      <c r="B39" s="4" t="b">
        <v>0</v>
      </c>
      <c r="C39" s="4" t="s">
        <v>108</v>
      </c>
      <c r="D39" s="5">
        <v>46212.568043981497</v>
      </c>
      <c r="E39" s="6" t="s">
        <v>30</v>
      </c>
      <c r="F39" s="7"/>
      <c r="G39" s="4" t="s">
        <v>33</v>
      </c>
      <c r="H39" t="s">
        <v>182</v>
      </c>
      <c r="I39" s="7">
        <v>11917.265027458199</v>
      </c>
      <c r="BA39" s="2"/>
      <c r="BB39" s="2"/>
      <c r="BC39" s="2"/>
      <c r="BD39" s="2"/>
    </row>
    <row r="40" spans="1:56" x14ac:dyDescent="0.35">
      <c r="A40" s="4"/>
      <c r="B40" s="4" t="b">
        <v>0</v>
      </c>
      <c r="C40" s="4" t="s">
        <v>143</v>
      </c>
      <c r="D40" s="5">
        <v>46212.5710300926</v>
      </c>
      <c r="E40" s="6" t="s">
        <v>30</v>
      </c>
      <c r="F40" s="7"/>
      <c r="G40" s="4" t="s">
        <v>87</v>
      </c>
      <c r="H40" t="s">
        <v>183</v>
      </c>
      <c r="I40" s="7">
        <v>43059.888774188599</v>
      </c>
      <c r="BA40" s="2"/>
      <c r="BB40" s="2"/>
      <c r="BC40" s="2"/>
      <c r="BD40" s="2"/>
    </row>
    <row r="41" spans="1:56" x14ac:dyDescent="0.35">
      <c r="A41" s="4"/>
      <c r="B41" s="4" t="b">
        <v>0</v>
      </c>
      <c r="C41" s="4" t="s">
        <v>56</v>
      </c>
      <c r="D41" s="5">
        <v>46212.574120370402</v>
      </c>
      <c r="E41" s="6" t="s">
        <v>30</v>
      </c>
      <c r="F41" s="7"/>
      <c r="G41" s="4" t="s">
        <v>53</v>
      </c>
      <c r="H41" t="s">
        <v>184</v>
      </c>
      <c r="I41" s="7">
        <v>4389.2379521959401</v>
      </c>
      <c r="J41" s="13"/>
      <c r="K41" s="13"/>
      <c r="L41" s="13"/>
      <c r="M41" s="13"/>
      <c r="BA41" s="2"/>
      <c r="BB41" s="2"/>
      <c r="BC41" s="2"/>
      <c r="BD41" s="2"/>
    </row>
    <row r="42" spans="1:56" x14ac:dyDescent="0.35">
      <c r="A42" s="4"/>
      <c r="B42" s="4" t="b">
        <v>0</v>
      </c>
      <c r="C42" s="4" t="s">
        <v>18</v>
      </c>
      <c r="D42" s="5">
        <v>46212.577118055597</v>
      </c>
      <c r="E42" s="6" t="s">
        <v>30</v>
      </c>
      <c r="F42" s="7"/>
      <c r="G42" s="4" t="s">
        <v>130</v>
      </c>
      <c r="H42" t="s">
        <v>185</v>
      </c>
      <c r="I42" s="7">
        <v>4097.17438454475</v>
      </c>
      <c r="J42" s="13"/>
      <c r="K42" s="13"/>
      <c r="L42" s="13"/>
      <c r="M42" s="13"/>
      <c r="BA42" s="2"/>
      <c r="BB42" s="2"/>
      <c r="BC42" s="2"/>
      <c r="BD42" s="2"/>
    </row>
    <row r="43" spans="1:56" x14ac:dyDescent="0.35">
      <c r="A43" s="4"/>
      <c r="B43" s="4" t="b">
        <v>0</v>
      </c>
      <c r="C43" s="4" t="s">
        <v>59</v>
      </c>
      <c r="D43" s="5">
        <v>46212.580208333296</v>
      </c>
      <c r="E43" s="6" t="s">
        <v>30</v>
      </c>
      <c r="F43" s="7"/>
      <c r="G43" s="4" t="s">
        <v>81</v>
      </c>
      <c r="H43" t="s">
        <v>186</v>
      </c>
      <c r="I43" s="7">
        <v>4154.74404747069</v>
      </c>
      <c r="J43" s="13"/>
      <c r="K43" s="13"/>
      <c r="L43" s="13"/>
      <c r="M43" s="13"/>
      <c r="BA43" s="2"/>
      <c r="BB43" s="2"/>
      <c r="BC43" s="2"/>
      <c r="BD43" s="2"/>
    </row>
    <row r="44" spans="1:56" x14ac:dyDescent="0.35">
      <c r="A44" s="4"/>
      <c r="B44" s="4" t="b">
        <v>0</v>
      </c>
      <c r="C44" s="4" t="s">
        <v>7</v>
      </c>
      <c r="D44" s="5">
        <v>46212.5831944444</v>
      </c>
      <c r="E44" s="6" t="s">
        <v>30</v>
      </c>
      <c r="F44" s="7"/>
      <c r="G44" s="4" t="s">
        <v>11</v>
      </c>
      <c r="H44" t="s">
        <v>187</v>
      </c>
      <c r="I44" s="7">
        <v>57732.342491878699</v>
      </c>
      <c r="BA44" s="2"/>
      <c r="BB44" s="2"/>
      <c r="BC44" s="2"/>
      <c r="BD44" s="2"/>
    </row>
    <row r="45" spans="1:56" x14ac:dyDescent="0.35">
      <c r="A45" s="4"/>
      <c r="B45" s="4" t="b">
        <v>0</v>
      </c>
      <c r="C45" s="4" t="s">
        <v>0</v>
      </c>
      <c r="D45" s="5">
        <v>46212.5863425926</v>
      </c>
      <c r="E45" s="6" t="s">
        <v>30</v>
      </c>
      <c r="F45" s="7"/>
      <c r="G45" s="4" t="s">
        <v>85</v>
      </c>
      <c r="H45" t="s">
        <v>188</v>
      </c>
      <c r="I45" s="7">
        <v>90867.955228887193</v>
      </c>
      <c r="BA45" s="2"/>
      <c r="BB45" s="2"/>
      <c r="BC45" s="2"/>
      <c r="BD45" s="2"/>
    </row>
    <row r="46" spans="1:56" x14ac:dyDescent="0.35">
      <c r="A46" s="4"/>
      <c r="B46" s="4" t="b">
        <v>0</v>
      </c>
      <c r="C46" s="4" t="s">
        <v>122</v>
      </c>
      <c r="D46" s="5">
        <v>46212.589386574102</v>
      </c>
      <c r="E46" s="6" t="s">
        <v>30</v>
      </c>
      <c r="F46" s="7"/>
      <c r="G46" s="4" t="s">
        <v>10</v>
      </c>
      <c r="H46" t="s">
        <v>189</v>
      </c>
      <c r="I46" s="7">
        <v>7131.8918108601802</v>
      </c>
      <c r="BA46" s="2"/>
      <c r="BB46" s="2"/>
      <c r="BC46" s="2"/>
      <c r="BD46" s="2"/>
    </row>
    <row r="47" spans="1:56" x14ac:dyDescent="0.35">
      <c r="A47" s="4"/>
      <c r="B47" s="4" t="b">
        <v>0</v>
      </c>
      <c r="C47" s="4" t="s">
        <v>8</v>
      </c>
      <c r="D47" s="5">
        <v>46212.592499999999</v>
      </c>
      <c r="E47" s="6" t="s">
        <v>30</v>
      </c>
      <c r="F47" s="7"/>
      <c r="G47" s="4" t="s">
        <v>39</v>
      </c>
      <c r="H47" s="4"/>
      <c r="I47" s="7">
        <v>2.74467430832724</v>
      </c>
      <c r="BA47" s="2"/>
      <c r="BB47" s="2"/>
      <c r="BC47" s="2"/>
      <c r="BD47" s="2"/>
    </row>
    <row r="48" spans="1:56" x14ac:dyDescent="0.35">
      <c r="A48" s="4"/>
      <c r="B48" s="4" t="b">
        <v>0</v>
      </c>
      <c r="C48" s="4" t="s">
        <v>100</v>
      </c>
      <c r="D48" s="5">
        <v>46212.595509259299</v>
      </c>
      <c r="E48" s="6" t="s">
        <v>30</v>
      </c>
      <c r="F48" s="7"/>
      <c r="G48" s="4" t="s">
        <v>36</v>
      </c>
      <c r="H48" s="4"/>
      <c r="I48" s="7">
        <v>1.1397484425166899</v>
      </c>
      <c r="BA48" s="2"/>
      <c r="BB48" s="2"/>
      <c r="BC48" s="2"/>
      <c r="BD48" s="2"/>
    </row>
    <row r="49" s="2" customFormat="1" x14ac:dyDescent="0.35"/>
  </sheetData>
  <mergeCells count="1">
    <mergeCell ref="A1:G1"/>
  </mergeCells>
  <conditionalFormatting sqref="J2:K9 J10:J24 J25:K25 J26 J27:K28 J29 J30:K31 J32 J33:K34 J35 J36:K37 J38 J39:K48">
    <cfRule type="cellIs" dxfId="1" priority="4" operator="greaterThan">
      <formula>500</formula>
    </cfRule>
  </conditionalFormatting>
  <conditionalFormatting sqref="K1 N1:CP6 I3:I48 S7:CP16 N7:N35 T17:CP35 N36:CP49 K49:K1048576 O50:O1048576 S50:S1048576 W50:W1048576 AA50:AA1048576 AE50:AE1048576 AI50:AI1048576 AM50:AM1048576 AQ50:AQ1048576 AU50:AU1048576 AY50:AY1048576 BG50:BG1048576 BK50:BK1048576 BO50:BO1048576 BS50:BS1048576 BW50:BW1048576 CA50:CA1048576">
    <cfRule type="cellIs" dxfId="0" priority="5" operator="greaterThan">
      <formula>500</formula>
    </cfRule>
  </conditionalFormatting>
  <conditionalFormatting sqref="Q20:Q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8:Q3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39C394C4-EBDD-4BCA-B126-0046742CCAEC}">
          <x14:formula1>
            <xm:f>ValueList_Helper!$A$1:$A$20</xm:f>
          </x14:formula1>
          <xm:sqref>E3:E48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20"/>
  <sheetViews>
    <sheetView zoomScaleNormal="100" workbookViewId="0"/>
  </sheetViews>
  <sheetFormatPr defaultColWidth="9.1796875" defaultRowHeight="14.5" x14ac:dyDescent="0.35"/>
  <sheetData>
    <row r="1" spans="1:1" x14ac:dyDescent="0.35">
      <c r="A1" t="s">
        <v>46</v>
      </c>
    </row>
    <row r="2" spans="1:1" x14ac:dyDescent="0.35">
      <c r="A2" t="s">
        <v>66</v>
      </c>
    </row>
    <row r="3" spans="1:1" x14ac:dyDescent="0.35">
      <c r="A3" t="s">
        <v>49</v>
      </c>
    </row>
    <row r="4" spans="1:1" x14ac:dyDescent="0.35">
      <c r="A4" t="s">
        <v>90</v>
      </c>
    </row>
    <row r="5" spans="1:1" x14ac:dyDescent="0.35">
      <c r="A5" t="s">
        <v>132</v>
      </c>
    </row>
    <row r="6" spans="1:1" x14ac:dyDescent="0.35">
      <c r="A6" t="s">
        <v>73</v>
      </c>
    </row>
    <row r="7" spans="1:1" x14ac:dyDescent="0.35">
      <c r="A7" t="s">
        <v>40</v>
      </c>
    </row>
    <row r="8" spans="1:1" x14ac:dyDescent="0.35">
      <c r="A8" t="s">
        <v>41</v>
      </c>
    </row>
    <row r="9" spans="1:1" x14ac:dyDescent="0.35">
      <c r="A9" t="s">
        <v>43</v>
      </c>
    </row>
    <row r="10" spans="1:1" x14ac:dyDescent="0.35">
      <c r="A10" t="s">
        <v>110</v>
      </c>
    </row>
    <row r="11" spans="1:1" x14ac:dyDescent="0.35">
      <c r="A11" t="s">
        <v>3</v>
      </c>
    </row>
    <row r="12" spans="1:1" x14ac:dyDescent="0.35">
      <c r="A12" t="s">
        <v>72</v>
      </c>
    </row>
    <row r="13" spans="1:1" x14ac:dyDescent="0.35">
      <c r="A13" t="s">
        <v>67</v>
      </c>
    </row>
    <row r="14" spans="1:1" x14ac:dyDescent="0.35">
      <c r="A14" t="s">
        <v>123</v>
      </c>
    </row>
    <row r="15" spans="1:1" x14ac:dyDescent="0.35">
      <c r="A15" t="s">
        <v>30</v>
      </c>
    </row>
    <row r="16" spans="1:1" x14ac:dyDescent="0.35">
      <c r="A16" t="s">
        <v>21</v>
      </c>
    </row>
    <row r="17" spans="1:1" x14ac:dyDescent="0.35">
      <c r="A17" t="s">
        <v>126</v>
      </c>
    </row>
    <row r="18" spans="1:1" x14ac:dyDescent="0.35">
      <c r="A18" t="s">
        <v>32</v>
      </c>
    </row>
    <row r="19" spans="1:1" x14ac:dyDescent="0.35">
      <c r="A19" t="s">
        <v>51</v>
      </c>
    </row>
    <row r="20" spans="1:1" x14ac:dyDescent="0.35">
      <c r="A2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Copper</vt:lpstr>
      <vt:lpstr>ValueList_Helper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Ollie Bridge</dc:creator>
  <cp:lastModifiedBy>Bridge, Ollie</cp:lastModifiedBy>
  <dcterms:created xsi:type="dcterms:W3CDTF">2026-07-09T13:56:06Z</dcterms:created>
  <dcterms:modified xsi:type="dcterms:W3CDTF">2026-08-18T13:46:20Z</dcterms:modified>
</cp:coreProperties>
</file>