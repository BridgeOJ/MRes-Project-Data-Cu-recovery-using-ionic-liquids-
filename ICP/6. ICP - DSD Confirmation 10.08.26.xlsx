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ojb125_ic_ac_uk/Documents/21 - Research Master's Project/Data/ICP/"/>
    </mc:Choice>
  </mc:AlternateContent>
  <xr:revisionPtr revIDLastSave="139" documentId="8_{3450A427-D384-4114-BB18-0B18A8713753}" xr6:coauthVersionLast="47" xr6:coauthVersionMax="47" xr10:uidLastSave="{B1C3BE1A-4A3C-4B30-95F1-E4B2F4CC3726}"/>
  <bookViews>
    <workbookView xWindow="41910" yWindow="2025" windowWidth="19200" windowHeight="10515" activeTab="1" xr2:uid="{00000000-000D-0000-FFFF-FFFF00000000}"/>
  </bookViews>
  <sheets>
    <sheet name="Raw Data" sheetId="1" r:id="rId1"/>
    <sheet name="Analysis" sheetId="3" r:id="rId2"/>
    <sheet name="ValueList_Helper" sheetId="2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3" i="3"/>
  <c r="O6" i="3"/>
  <c r="O7" i="3"/>
  <c r="O8" i="3"/>
  <c r="O9" i="3"/>
  <c r="O10" i="3"/>
  <c r="O4" i="3"/>
  <c r="O5" i="3"/>
  <c r="O3" i="3"/>
</calcChain>
</file>

<file path=xl/sharedStrings.xml><?xml version="1.0" encoding="utf-8"?>
<sst xmlns="http://schemas.openxmlformats.org/spreadsheetml/2006/main" count="446" uniqueCount="120">
  <si>
    <t>B1.d</t>
  </si>
  <si>
    <t>Rinse 3.d</t>
  </si>
  <si>
    <t xml:space="preserve">71  Ga  [ He ] </t>
  </si>
  <si>
    <t>Rinse 5</t>
  </si>
  <si>
    <t>QC2</t>
  </si>
  <si>
    <t>SQStd</t>
  </si>
  <si>
    <t>100ug_Cu</t>
  </si>
  <si>
    <t>DI.d</t>
  </si>
  <si>
    <t>R3.d</t>
  </si>
  <si>
    <t xml:space="preserve">193  Ir ( ISTD )  [ H2 ] </t>
  </si>
  <si>
    <t>Rinse 2.d</t>
  </si>
  <si>
    <t>5.d</t>
  </si>
  <si>
    <t xml:space="preserve">24  Mg  [ He ] </t>
  </si>
  <si>
    <t>Rinse 6.d</t>
  </si>
  <si>
    <t xml:space="preserve">43  Ca  [ He ] </t>
  </si>
  <si>
    <t xml:space="preserve">89  Y ( ISTD )  [ He ] </t>
  </si>
  <si>
    <t>Spike</t>
  </si>
  <si>
    <t xml:space="preserve">55  Mn  [ He ] </t>
  </si>
  <si>
    <t xml:space="preserve">44  Ca  [ He ] </t>
  </si>
  <si>
    <t xml:space="preserve">107  Ag  [ He ] </t>
  </si>
  <si>
    <t>Control</t>
  </si>
  <si>
    <t>Rinse 4.d</t>
  </si>
  <si>
    <t>Rinse 2</t>
  </si>
  <si>
    <t>2</t>
  </si>
  <si>
    <t>200.d</t>
  </si>
  <si>
    <t>Bead_1.d</t>
  </si>
  <si>
    <t>Sample</t>
  </si>
  <si>
    <t>Level</t>
  </si>
  <si>
    <t>Rinse 1</t>
  </si>
  <si>
    <t>SQBlk</t>
  </si>
  <si>
    <t>&lt;0.000</t>
  </si>
  <si>
    <t xml:space="preserve">137  Ba  [ He ] </t>
  </si>
  <si>
    <t>Ca</t>
  </si>
  <si>
    <t>EL-30</t>
  </si>
  <si>
    <t>N/A</t>
  </si>
  <si>
    <t>R3</t>
  </si>
  <si>
    <t>DriftChk</t>
  </si>
  <si>
    <t>FQBlk</t>
  </si>
  <si>
    <t>IsoStd</t>
  </si>
  <si>
    <t>100</t>
  </si>
  <si>
    <t>Bkgnd</t>
  </si>
  <si>
    <t>Powder</t>
  </si>
  <si>
    <t>CalBlk</t>
  </si>
  <si>
    <t>SQISTD</t>
  </si>
  <si>
    <t xml:space="preserve">45  Sc ( ISTD )  [ He ] </t>
  </si>
  <si>
    <t>R2</t>
  </si>
  <si>
    <t>Conc. [ ug/l ]</t>
  </si>
  <si>
    <t>Data File</t>
  </si>
  <si>
    <t xml:space="preserve">60  Ni  [ He ] </t>
  </si>
  <si>
    <t>Conc. RSD</t>
  </si>
  <si>
    <t xml:space="preserve">39  K  [ He ] </t>
  </si>
  <si>
    <t>BlkVrfy</t>
  </si>
  <si>
    <t>QC4</t>
  </si>
  <si>
    <t>500.d</t>
  </si>
  <si>
    <t>3</t>
  </si>
  <si>
    <t>QC3</t>
  </si>
  <si>
    <t>100ug_Cu.d</t>
  </si>
  <si>
    <t>DilStd</t>
  </si>
  <si>
    <t>Type</t>
  </si>
  <si>
    <t>500</t>
  </si>
  <si>
    <t>Acq. Date-Time</t>
  </si>
  <si>
    <t>H_plus.d</t>
  </si>
  <si>
    <t>Ca.d</t>
  </si>
  <si>
    <t>Conc.</t>
  </si>
  <si>
    <t>B0</t>
  </si>
  <si>
    <t>B1</t>
  </si>
  <si>
    <t xml:space="preserve">59  Co  [ He ] </t>
  </si>
  <si>
    <t>B0.d</t>
  </si>
  <si>
    <t>CalStd</t>
  </si>
  <si>
    <t xml:space="preserve">27  Al  [ He ] </t>
  </si>
  <si>
    <t xml:space="preserve">66  Zn  [ He ] </t>
  </si>
  <si>
    <t xml:space="preserve">63  Cu  [ He ] </t>
  </si>
  <si>
    <t xml:space="preserve">89  Y ( ISTD )  [ H2 ] </t>
  </si>
  <si>
    <t xml:space="preserve">45  Sc ( ISTD )  [ H2 ] </t>
  </si>
  <si>
    <t>EL-30.d</t>
  </si>
  <si>
    <t>R1</t>
  </si>
  <si>
    <t>R2.d</t>
  </si>
  <si>
    <t>Powder.d</t>
  </si>
  <si>
    <t>H_plus</t>
  </si>
  <si>
    <t xml:space="preserve">56  Fe  [ H2 ] </t>
  </si>
  <si>
    <t>50.d</t>
  </si>
  <si>
    <t>1</t>
  </si>
  <si>
    <t>QC1</t>
  </si>
  <si>
    <t>100.d</t>
  </si>
  <si>
    <t xml:space="preserve">111  Cd  [ He ] </t>
  </si>
  <si>
    <t>Rinse 6</t>
  </si>
  <si>
    <t>Rinse 3</t>
  </si>
  <si>
    <t>0ppb.d</t>
  </si>
  <si>
    <t>Bead_1</t>
  </si>
  <si>
    <t>EL-60</t>
  </si>
  <si>
    <t xml:space="preserve">52  Cr  [ He ] </t>
  </si>
  <si>
    <t>Rinse 4</t>
  </si>
  <si>
    <t>200</t>
  </si>
  <si>
    <t>EL-0</t>
  </si>
  <si>
    <t>CPS</t>
  </si>
  <si>
    <t>QC5</t>
  </si>
  <si>
    <t>Rinse 5.d</t>
  </si>
  <si>
    <t>50</t>
  </si>
  <si>
    <t>Spike Ref</t>
  </si>
  <si>
    <t>Sample Name</t>
  </si>
  <si>
    <t>Rinse 1.d</t>
  </si>
  <si>
    <t>EL-0.d</t>
  </si>
  <si>
    <t>CICSpike</t>
  </si>
  <si>
    <t/>
  </si>
  <si>
    <t xml:space="preserve">193  Ir ( ISTD )  [ He ] </t>
  </si>
  <si>
    <t xml:space="preserve">23  Na  [ He ] </t>
  </si>
  <si>
    <t>0ppb</t>
  </si>
  <si>
    <t>4</t>
  </si>
  <si>
    <t>6</t>
  </si>
  <si>
    <t>Control.d</t>
  </si>
  <si>
    <t>R1.d</t>
  </si>
  <si>
    <t>5</t>
  </si>
  <si>
    <t xml:space="preserve">208  Pb  [ He ] </t>
  </si>
  <si>
    <t>DI</t>
  </si>
  <si>
    <t>Rjct</t>
  </si>
  <si>
    <t>EL-60.d</t>
  </si>
  <si>
    <t>Vol</t>
  </si>
  <si>
    <t>Mass mg</t>
  </si>
  <si>
    <t>Yeild</t>
  </si>
  <si>
    <t>Cu mg/kg shred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</si>
</sst>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color theme="1"/>
      <name val="Calibri"/>
      <family val="2"/>
      <scheme val="minor"/>
    </font>
    <font>
      <sz val="9"/>
      <color rgb="FF000000"/>
      <name val="Microsoft Sans Serif"/>
      <family val="2"/>
    </font>
    <font>
      <sz val="11"/>
      <color theme="1"/>
      <name val="Calibri"/>
      <family val="2"/>
      <scheme val="minor"/>
    </font>
    <font>
      <sz val="9"/>
      <name val="Microsoft Sans Serif"/>
      <family val="2"/>
    </font>
    <font>
      <sz val="9"/>
      <color theme="1"/>
      <name val="Microsoft Sans Serif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EFEFEF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top"/>
    </xf>
    <xf numFmtId="22" fontId="3" fillId="0" borderId="2" xfId="0" applyNumberFormat="1" applyFont="1" applyBorder="1" applyAlignment="1">
      <alignment horizontal="left" vertical="top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top"/>
    </xf>
    <xf numFmtId="0" fontId="3" fillId="3" borderId="2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left" vertical="top"/>
    </xf>
    <xf numFmtId="0" fontId="5" fillId="0" borderId="0" xfId="0" applyFont="1"/>
    <xf numFmtId="164" fontId="5" fillId="0" borderId="0" xfId="0" applyNumberFormat="1" applyFont="1"/>
    <xf numFmtId="164" fontId="4" fillId="0" borderId="0" xfId="0" applyNumberFormat="1" applyFont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31</xdr:row>
      <xdr:rowOff>0</xdr:rowOff>
    </xdr:from>
    <xdr:to>
      <xdr:col>27</xdr:col>
      <xdr:colOff>578740</xdr:colOff>
      <xdr:row>66</xdr:row>
      <xdr:rowOff>56309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1A3E8C-D5B7-4429-AC8D-45AE8BC5C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5981700"/>
          <a:ext cx="18276190" cy="67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9</xdr:col>
      <xdr:colOff>132640</xdr:colOff>
      <xdr:row>97</xdr:row>
      <xdr:rowOff>56452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CE12A8-4127-4618-AEA5-17C9641DA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" y="13030200"/>
          <a:ext cx="5676190" cy="558095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70</xdr:row>
      <xdr:rowOff>0</xdr:rowOff>
    </xdr:from>
    <xdr:to>
      <xdr:col>15</xdr:col>
      <xdr:colOff>152042</xdr:colOff>
      <xdr:row>81</xdr:row>
      <xdr:rowOff>56881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A267BE-E0E9-4C4E-9082-F8B02433D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77125" y="13411200"/>
          <a:ext cx="2866667" cy="21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165100</xdr:rowOff>
    </xdr:from>
    <xdr:to>
      <xdr:col>27</xdr:col>
      <xdr:colOff>162815</xdr:colOff>
      <xdr:row>56</xdr:row>
      <xdr:rowOff>37259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F052DD-9FBE-48FB-B6D6-0E1282305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37000"/>
          <a:ext cx="20111340" cy="65015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8</xdr:col>
      <xdr:colOff>246940</xdr:colOff>
      <xdr:row>78</xdr:row>
      <xdr:rowOff>56452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FD3E1F-4588-4B90-A72A-055AA45A8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7850" y="12611100"/>
          <a:ext cx="5942890" cy="539680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51</xdr:row>
      <xdr:rowOff>0</xdr:rowOff>
    </xdr:from>
    <xdr:to>
      <xdr:col>8</xdr:col>
      <xdr:colOff>47267</xdr:colOff>
      <xdr:row>62</xdr:row>
      <xdr:rowOff>56881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753C2E-D68E-49DA-8247-00C12F4C5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5900" y="12979400"/>
          <a:ext cx="2996842" cy="208253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U29"/>
  <sheetViews>
    <sheetView zoomScale="70" zoomScaleNormal="70" workbookViewId="0">
      <pane xSplit="7" ySplit="1" topLeftCell="AZ2" activePane="bottomRight" state="frozen"/>
      <selection pane="topRight" activeCell="H1" sqref="H1"/>
      <selection pane="bottomLeft" activeCell="A2" sqref="A2"/>
      <selection pane="bottomRight" sqref="A1:XFD1048576"/>
    </sheetView>
  </sheetViews>
  <sheetFormatPr defaultColWidth="9.1796875" defaultRowHeight="14.5"/>
  <cols>
    <col min="1" max="1" width="4" style="1" customWidth="1"/>
    <col min="2" max="2" width="4.26953125" style="1" customWidth="1"/>
    <col min="3" max="3" width="12" style="1" customWidth="1"/>
    <col min="4" max="4" width="21.1796875" style="1" customWidth="1"/>
    <col min="5" max="5" width="11" style="1" customWidth="1"/>
    <col min="6" max="6" width="5.81640625" style="1" customWidth="1"/>
    <col min="7" max="7" width="12.453125" style="1" customWidth="1"/>
    <col min="8" max="8" width="10.7265625" style="1" customWidth="1"/>
    <col min="9" max="9" width="10" style="1" customWidth="1"/>
    <col min="10" max="10" width="11" style="1" customWidth="1"/>
    <col min="11" max="11" width="9.7265625" style="1" customWidth="1"/>
    <col min="12" max="12" width="10" style="1" customWidth="1"/>
    <col min="13" max="13" width="11" style="1" customWidth="1"/>
    <col min="14" max="14" width="9.7265625" style="1" customWidth="1"/>
    <col min="15" max="15" width="10" style="1" customWidth="1"/>
    <col min="16" max="16" width="11" style="1" customWidth="1"/>
    <col min="17" max="17" width="9.7265625" style="1" customWidth="1"/>
    <col min="18" max="18" width="10" style="1" customWidth="1"/>
    <col min="19" max="19" width="11" style="1" customWidth="1"/>
    <col min="20" max="20" width="7.7265625" style="1" customWidth="1"/>
    <col min="21" max="21" width="10" style="1" customWidth="1"/>
    <col min="22" max="22" width="11" style="1" customWidth="1"/>
    <col min="23" max="23" width="8.7265625" style="1" customWidth="1"/>
    <col min="24" max="24" width="10" style="1" customWidth="1"/>
    <col min="25" max="25" width="11" style="1" customWidth="1"/>
    <col min="26" max="26" width="10.7265625" style="1" customWidth="1"/>
    <col min="27" max="27" width="10" style="1" customWidth="1"/>
    <col min="28" max="28" width="11" style="1" customWidth="1"/>
    <col min="29" max="29" width="10.7265625" style="1" customWidth="1"/>
    <col min="30" max="30" width="10" style="1" customWidth="1"/>
    <col min="31" max="31" width="11" style="1" customWidth="1"/>
    <col min="32" max="32" width="11.7265625" style="1" customWidth="1"/>
    <col min="33" max="33" width="10" style="1" customWidth="1"/>
    <col min="34" max="34" width="11" style="1" customWidth="1"/>
    <col min="35" max="35" width="11.7265625" style="1" customWidth="1"/>
    <col min="36" max="36" width="10" style="1" customWidth="1"/>
    <col min="37" max="37" width="11" style="1" customWidth="1"/>
    <col min="38" max="38" width="10.7265625" style="1" customWidth="1"/>
    <col min="39" max="39" width="10" style="1" customWidth="1"/>
    <col min="40" max="40" width="11" style="1" customWidth="1"/>
    <col min="41" max="41" width="11.7265625" style="1" customWidth="1"/>
    <col min="42" max="42" width="10" style="1" customWidth="1"/>
    <col min="43" max="43" width="11" style="1" customWidth="1"/>
    <col min="44" max="44" width="10.7265625" style="1" customWidth="1"/>
    <col min="45" max="45" width="10" style="1" customWidth="1"/>
    <col min="46" max="46" width="11" style="1" customWidth="1"/>
    <col min="47" max="47" width="10.7265625" style="1" customWidth="1"/>
    <col min="48" max="48" width="10" style="1" customWidth="1"/>
    <col min="49" max="49" width="11" style="1" customWidth="1"/>
    <col min="50" max="50" width="11.7265625" style="1" customWidth="1"/>
    <col min="51" max="51" width="10" style="1" customWidth="1"/>
    <col min="52" max="52" width="11" style="1" customWidth="1"/>
    <col min="53" max="53" width="10.7265625" style="1" customWidth="1"/>
    <col min="54" max="54" width="10" style="1" customWidth="1"/>
    <col min="55" max="55" width="11" style="1" customWidth="1"/>
    <col min="56" max="56" width="10.7265625" style="1" customWidth="1"/>
    <col min="57" max="57" width="10" style="1" customWidth="1"/>
    <col min="58" max="58" width="11" style="1" customWidth="1"/>
    <col min="59" max="59" width="11.7265625" style="1" customWidth="1"/>
    <col min="60" max="60" width="10" style="1" customWidth="1"/>
    <col min="61" max="62" width="11" style="1" customWidth="1"/>
    <col min="63" max="63" width="12.1796875" style="1" customWidth="1"/>
    <col min="64" max="64" width="11" style="1" customWidth="1"/>
    <col min="65" max="65" width="12.1796875" style="1" customWidth="1"/>
    <col min="66" max="66" width="11" style="1" customWidth="1"/>
    <col min="67" max="67" width="11.26953125" style="1" customWidth="1"/>
    <col min="68" max="68" width="11" style="1" customWidth="1"/>
    <col min="69" max="69" width="11.26953125" style="1" customWidth="1"/>
    <col min="70" max="70" width="11" style="1" customWidth="1"/>
    <col min="71" max="71" width="12.1796875" style="1" customWidth="1"/>
    <col min="72" max="72" width="11" style="1" customWidth="1"/>
    <col min="73" max="73" width="12.1796875" style="1" customWidth="1"/>
    <col min="74" max="16384" width="9.1796875" style="1"/>
  </cols>
  <sheetData>
    <row r="1" spans="1:73" ht="18" customHeight="1">
      <c r="A1" s="14" t="s">
        <v>26</v>
      </c>
      <c r="B1" s="15"/>
      <c r="C1" s="15"/>
      <c r="D1" s="15"/>
      <c r="E1" s="15"/>
      <c r="F1" s="15"/>
      <c r="G1" s="16"/>
      <c r="H1" s="14" t="s">
        <v>105</v>
      </c>
      <c r="I1" s="15"/>
      <c r="J1" s="16"/>
      <c r="K1" s="14" t="s">
        <v>12</v>
      </c>
      <c r="L1" s="15"/>
      <c r="M1" s="16"/>
      <c r="N1" s="14" t="s">
        <v>69</v>
      </c>
      <c r="O1" s="15"/>
      <c r="P1" s="16"/>
      <c r="Q1" s="14" t="s">
        <v>50</v>
      </c>
      <c r="R1" s="15"/>
      <c r="S1" s="16"/>
      <c r="T1" s="14" t="s">
        <v>14</v>
      </c>
      <c r="U1" s="15"/>
      <c r="V1" s="16"/>
      <c r="W1" s="14" t="s">
        <v>18</v>
      </c>
      <c r="X1" s="15"/>
      <c r="Y1" s="16"/>
      <c r="Z1" s="14" t="s">
        <v>90</v>
      </c>
      <c r="AA1" s="15"/>
      <c r="AB1" s="16"/>
      <c r="AC1" s="14" t="s">
        <v>17</v>
      </c>
      <c r="AD1" s="15"/>
      <c r="AE1" s="16"/>
      <c r="AF1" s="14" t="s">
        <v>79</v>
      </c>
      <c r="AG1" s="15"/>
      <c r="AH1" s="16"/>
      <c r="AI1" s="14" t="s">
        <v>66</v>
      </c>
      <c r="AJ1" s="15"/>
      <c r="AK1" s="16"/>
      <c r="AL1" s="14" t="s">
        <v>48</v>
      </c>
      <c r="AM1" s="15"/>
      <c r="AN1" s="16"/>
      <c r="AO1" s="14" t="s">
        <v>71</v>
      </c>
      <c r="AP1" s="15"/>
      <c r="AQ1" s="16"/>
      <c r="AR1" s="14" t="s">
        <v>70</v>
      </c>
      <c r="AS1" s="15"/>
      <c r="AT1" s="16"/>
      <c r="AU1" s="14" t="s">
        <v>2</v>
      </c>
      <c r="AV1" s="15"/>
      <c r="AW1" s="16"/>
      <c r="AX1" s="14" t="s">
        <v>19</v>
      </c>
      <c r="AY1" s="15"/>
      <c r="AZ1" s="16"/>
      <c r="BA1" s="14" t="s">
        <v>84</v>
      </c>
      <c r="BB1" s="15"/>
      <c r="BC1" s="16"/>
      <c r="BD1" s="14" t="s">
        <v>31</v>
      </c>
      <c r="BE1" s="15"/>
      <c r="BF1" s="16"/>
      <c r="BG1" s="14" t="s">
        <v>112</v>
      </c>
      <c r="BH1" s="15"/>
      <c r="BI1" s="16"/>
      <c r="BJ1" s="14" t="s">
        <v>73</v>
      </c>
      <c r="BK1" s="16"/>
      <c r="BL1" s="14" t="s">
        <v>44</v>
      </c>
      <c r="BM1" s="16"/>
      <c r="BN1" s="14" t="s">
        <v>72</v>
      </c>
      <c r="BO1" s="16"/>
      <c r="BP1" s="14" t="s">
        <v>15</v>
      </c>
      <c r="BQ1" s="16"/>
      <c r="BR1" s="14" t="s">
        <v>9</v>
      </c>
      <c r="BS1" s="16"/>
      <c r="BT1" s="14" t="s">
        <v>104</v>
      </c>
      <c r="BU1" s="16"/>
    </row>
    <row r="2" spans="1:73" ht="18" customHeight="1">
      <c r="A2" s="2" t="s">
        <v>103</v>
      </c>
      <c r="B2" s="2" t="s">
        <v>114</v>
      </c>
      <c r="C2" s="2" t="s">
        <v>47</v>
      </c>
      <c r="D2" s="2" t="s">
        <v>60</v>
      </c>
      <c r="E2" s="2" t="s">
        <v>58</v>
      </c>
      <c r="F2" s="2" t="s">
        <v>27</v>
      </c>
      <c r="G2" s="2" t="s">
        <v>99</v>
      </c>
      <c r="H2" s="2" t="s">
        <v>94</v>
      </c>
      <c r="I2" s="2" t="s">
        <v>49</v>
      </c>
      <c r="J2" s="2" t="s">
        <v>46</v>
      </c>
      <c r="K2" s="2" t="s">
        <v>94</v>
      </c>
      <c r="L2" s="2" t="s">
        <v>49</v>
      </c>
      <c r="M2" s="2" t="s">
        <v>46</v>
      </c>
      <c r="N2" s="2" t="s">
        <v>94</v>
      </c>
      <c r="O2" s="2" t="s">
        <v>49</v>
      </c>
      <c r="P2" s="2" t="s">
        <v>46</v>
      </c>
      <c r="Q2" s="2" t="s">
        <v>94</v>
      </c>
      <c r="R2" s="2" t="s">
        <v>49</v>
      </c>
      <c r="S2" s="2" t="s">
        <v>46</v>
      </c>
      <c r="T2" s="2" t="s">
        <v>94</v>
      </c>
      <c r="U2" s="2" t="s">
        <v>49</v>
      </c>
      <c r="V2" s="2" t="s">
        <v>46</v>
      </c>
      <c r="W2" s="2" t="s">
        <v>94</v>
      </c>
      <c r="X2" s="2" t="s">
        <v>49</v>
      </c>
      <c r="Y2" s="2" t="s">
        <v>46</v>
      </c>
      <c r="Z2" s="2" t="s">
        <v>94</v>
      </c>
      <c r="AA2" s="2" t="s">
        <v>49</v>
      </c>
      <c r="AB2" s="2" t="s">
        <v>46</v>
      </c>
      <c r="AC2" s="2" t="s">
        <v>94</v>
      </c>
      <c r="AD2" s="2" t="s">
        <v>49</v>
      </c>
      <c r="AE2" s="2" t="s">
        <v>46</v>
      </c>
      <c r="AF2" s="2" t="s">
        <v>94</v>
      </c>
      <c r="AG2" s="2" t="s">
        <v>49</v>
      </c>
      <c r="AH2" s="2" t="s">
        <v>46</v>
      </c>
      <c r="AI2" s="2" t="s">
        <v>94</v>
      </c>
      <c r="AJ2" s="2" t="s">
        <v>49</v>
      </c>
      <c r="AK2" s="2" t="s">
        <v>46</v>
      </c>
      <c r="AL2" s="2" t="s">
        <v>94</v>
      </c>
      <c r="AM2" s="2" t="s">
        <v>49</v>
      </c>
      <c r="AN2" s="2" t="s">
        <v>46</v>
      </c>
      <c r="AO2" s="2" t="s">
        <v>94</v>
      </c>
      <c r="AP2" s="2" t="s">
        <v>49</v>
      </c>
      <c r="AQ2" s="2" t="s">
        <v>46</v>
      </c>
      <c r="AR2" s="2" t="s">
        <v>94</v>
      </c>
      <c r="AS2" s="2" t="s">
        <v>49</v>
      </c>
      <c r="AT2" s="2" t="s">
        <v>46</v>
      </c>
      <c r="AU2" s="2" t="s">
        <v>94</v>
      </c>
      <c r="AV2" s="2" t="s">
        <v>49</v>
      </c>
      <c r="AW2" s="2" t="s">
        <v>46</v>
      </c>
      <c r="AX2" s="2" t="s">
        <v>94</v>
      </c>
      <c r="AY2" s="2" t="s">
        <v>49</v>
      </c>
      <c r="AZ2" s="2" t="s">
        <v>46</v>
      </c>
      <c r="BA2" s="2" t="s">
        <v>94</v>
      </c>
      <c r="BB2" s="2" t="s">
        <v>49</v>
      </c>
      <c r="BC2" s="2" t="s">
        <v>46</v>
      </c>
      <c r="BD2" s="2" t="s">
        <v>94</v>
      </c>
      <c r="BE2" s="2" t="s">
        <v>49</v>
      </c>
      <c r="BF2" s="2" t="s">
        <v>46</v>
      </c>
      <c r="BG2" s="2" t="s">
        <v>94</v>
      </c>
      <c r="BH2" s="2" t="s">
        <v>49</v>
      </c>
      <c r="BI2" s="2" t="s">
        <v>46</v>
      </c>
      <c r="BJ2" s="2" t="s">
        <v>63</v>
      </c>
      <c r="BK2" s="2" t="s">
        <v>49</v>
      </c>
      <c r="BL2" s="2" t="s">
        <v>63</v>
      </c>
      <c r="BM2" s="2" t="s">
        <v>49</v>
      </c>
      <c r="BN2" s="2" t="s">
        <v>63</v>
      </c>
      <c r="BO2" s="2" t="s">
        <v>49</v>
      </c>
      <c r="BP2" s="2" t="s">
        <v>63</v>
      </c>
      <c r="BQ2" s="2" t="s">
        <v>49</v>
      </c>
      <c r="BR2" s="2" t="s">
        <v>63</v>
      </c>
      <c r="BS2" s="2" t="s">
        <v>49</v>
      </c>
      <c r="BT2" s="2" t="s">
        <v>63</v>
      </c>
      <c r="BU2" s="2" t="s">
        <v>49</v>
      </c>
    </row>
    <row r="3" spans="1:73">
      <c r="A3" s="3"/>
      <c r="B3" s="3" t="b">
        <v>0</v>
      </c>
      <c r="C3" s="3" t="s">
        <v>100</v>
      </c>
      <c r="D3" s="4">
        <v>46244.529444444401</v>
      </c>
      <c r="E3" s="5" t="s">
        <v>26</v>
      </c>
      <c r="F3" s="6"/>
      <c r="G3" s="3" t="s">
        <v>28</v>
      </c>
      <c r="H3" s="7">
        <v>4937.67</v>
      </c>
      <c r="I3" s="7"/>
      <c r="J3" s="7"/>
      <c r="K3" s="6">
        <v>45.05</v>
      </c>
      <c r="L3" s="6"/>
      <c r="M3" s="6"/>
      <c r="N3" s="7">
        <v>16.686666666666699</v>
      </c>
      <c r="O3" s="7"/>
      <c r="P3" s="7"/>
      <c r="Q3" s="6">
        <v>2960.0866666666702</v>
      </c>
      <c r="R3" s="6"/>
      <c r="S3" s="6"/>
      <c r="T3" s="7">
        <v>5.0066666666666704</v>
      </c>
      <c r="U3" s="7"/>
      <c r="V3" s="7"/>
      <c r="W3" s="6">
        <v>602.31666666666695</v>
      </c>
      <c r="X3" s="6"/>
      <c r="Y3" s="6"/>
      <c r="Z3" s="7">
        <v>350.37</v>
      </c>
      <c r="AA3" s="7"/>
      <c r="AB3" s="7"/>
      <c r="AC3" s="6">
        <v>53.39</v>
      </c>
      <c r="AD3" s="6"/>
      <c r="AE3" s="6"/>
      <c r="AF3" s="7">
        <v>5783.91</v>
      </c>
      <c r="AG3" s="7"/>
      <c r="AH3" s="7"/>
      <c r="AI3" s="6">
        <v>25.03</v>
      </c>
      <c r="AJ3" s="6"/>
      <c r="AK3" s="6"/>
      <c r="AL3" s="7">
        <v>148.49</v>
      </c>
      <c r="AM3" s="7"/>
      <c r="AN3" s="7"/>
      <c r="AO3" s="6">
        <v>1004.42666666667</v>
      </c>
      <c r="AP3" s="6"/>
      <c r="AQ3" s="6"/>
      <c r="AR3" s="7">
        <v>9389.5733333333301</v>
      </c>
      <c r="AS3" s="7"/>
      <c r="AT3" s="7"/>
      <c r="AU3" s="6">
        <v>0</v>
      </c>
      <c r="AV3" s="6"/>
      <c r="AW3" s="6"/>
      <c r="AX3" s="7">
        <v>513.11666666666702</v>
      </c>
      <c r="AY3" s="7"/>
      <c r="AZ3" s="7"/>
      <c r="BA3" s="6">
        <v>10.0133333333333</v>
      </c>
      <c r="BB3" s="6"/>
      <c r="BC3" s="6"/>
      <c r="BD3" s="7">
        <v>5.0066666666666704</v>
      </c>
      <c r="BE3" s="7"/>
      <c r="BF3" s="7"/>
      <c r="BG3" s="6">
        <v>689.08</v>
      </c>
      <c r="BH3" s="6"/>
      <c r="BI3" s="6"/>
      <c r="BJ3" s="7"/>
      <c r="BK3" s="7"/>
      <c r="BL3" s="6"/>
      <c r="BM3" s="6"/>
      <c r="BN3" s="7"/>
      <c r="BO3" s="7"/>
      <c r="BP3" s="6"/>
      <c r="BQ3" s="6"/>
      <c r="BR3" s="7"/>
      <c r="BS3" s="7"/>
      <c r="BT3" s="6"/>
      <c r="BU3" s="6"/>
    </row>
    <row r="4" spans="1:73">
      <c r="A4" s="3"/>
      <c r="B4" s="3" t="b">
        <v>0</v>
      </c>
      <c r="C4" s="3" t="s">
        <v>87</v>
      </c>
      <c r="D4" s="4">
        <v>46244.532488425903</v>
      </c>
      <c r="E4" s="5" t="s">
        <v>42</v>
      </c>
      <c r="F4" s="6" t="s">
        <v>81</v>
      </c>
      <c r="G4" s="3" t="s">
        <v>106</v>
      </c>
      <c r="H4" s="7">
        <v>2546.2199999999998</v>
      </c>
      <c r="I4" s="7" t="s">
        <v>34</v>
      </c>
      <c r="J4" s="7">
        <v>0</v>
      </c>
      <c r="K4" s="6">
        <v>253.60333333333301</v>
      </c>
      <c r="L4" s="6" t="s">
        <v>34</v>
      </c>
      <c r="M4" s="6">
        <v>0</v>
      </c>
      <c r="N4" s="7">
        <v>28.366666666666699</v>
      </c>
      <c r="O4" s="7" t="s">
        <v>34</v>
      </c>
      <c r="P4" s="7">
        <v>0</v>
      </c>
      <c r="Q4" s="6">
        <v>2716.4466666666699</v>
      </c>
      <c r="R4" s="6" t="s">
        <v>34</v>
      </c>
      <c r="S4" s="6">
        <v>0</v>
      </c>
      <c r="T4" s="7">
        <v>8.3433333333333302</v>
      </c>
      <c r="U4" s="7" t="s">
        <v>34</v>
      </c>
      <c r="V4" s="7">
        <v>0</v>
      </c>
      <c r="W4" s="6">
        <v>880.95666666666705</v>
      </c>
      <c r="X4" s="6" t="s">
        <v>34</v>
      </c>
      <c r="Y4" s="6">
        <v>0</v>
      </c>
      <c r="Z4" s="7">
        <v>95.103333333333296</v>
      </c>
      <c r="AA4" s="7" t="s">
        <v>34</v>
      </c>
      <c r="AB4" s="7">
        <v>0</v>
      </c>
      <c r="AC4" s="6">
        <v>31.7</v>
      </c>
      <c r="AD4" s="6" t="s">
        <v>34</v>
      </c>
      <c r="AE4" s="6">
        <v>0</v>
      </c>
      <c r="AF4" s="7">
        <v>2561.2666666666701</v>
      </c>
      <c r="AG4" s="7" t="s">
        <v>34</v>
      </c>
      <c r="AH4" s="7">
        <v>0</v>
      </c>
      <c r="AI4" s="6">
        <v>65.066666666666706</v>
      </c>
      <c r="AJ4" s="6" t="s">
        <v>34</v>
      </c>
      <c r="AK4" s="6">
        <v>0</v>
      </c>
      <c r="AL4" s="7">
        <v>70.069999999999993</v>
      </c>
      <c r="AM4" s="7" t="s">
        <v>34</v>
      </c>
      <c r="AN4" s="7">
        <v>0</v>
      </c>
      <c r="AO4" s="6">
        <v>270.28666666666697</v>
      </c>
      <c r="AP4" s="6" t="s">
        <v>34</v>
      </c>
      <c r="AQ4" s="6">
        <v>0</v>
      </c>
      <c r="AR4" s="7">
        <v>6301.3533333333298</v>
      </c>
      <c r="AS4" s="7" t="s">
        <v>34</v>
      </c>
      <c r="AT4" s="7">
        <v>0</v>
      </c>
      <c r="AU4" s="6">
        <v>0</v>
      </c>
      <c r="AV4" s="6" t="s">
        <v>34</v>
      </c>
      <c r="AW4" s="6">
        <v>0</v>
      </c>
      <c r="AX4" s="7">
        <v>53.31</v>
      </c>
      <c r="AY4" s="7" t="s">
        <v>34</v>
      </c>
      <c r="AZ4" s="7">
        <v>0</v>
      </c>
      <c r="BA4" s="6">
        <v>1.67</v>
      </c>
      <c r="BB4" s="6" t="s">
        <v>34</v>
      </c>
      <c r="BC4" s="6">
        <v>0</v>
      </c>
      <c r="BD4" s="7">
        <v>6.6733333333333302</v>
      </c>
      <c r="BE4" s="7" t="s">
        <v>34</v>
      </c>
      <c r="BF4" s="7">
        <v>0</v>
      </c>
      <c r="BG4" s="6">
        <v>407.10333333333301</v>
      </c>
      <c r="BH4" s="6" t="s">
        <v>34</v>
      </c>
      <c r="BI4" s="6">
        <v>0</v>
      </c>
      <c r="BJ4" s="7"/>
      <c r="BK4" s="7"/>
      <c r="BL4" s="6"/>
      <c r="BM4" s="6"/>
      <c r="BN4" s="7"/>
      <c r="BO4" s="7"/>
      <c r="BP4" s="6"/>
      <c r="BQ4" s="6"/>
      <c r="BR4" s="7"/>
      <c r="BS4" s="7"/>
      <c r="BT4" s="6"/>
      <c r="BU4" s="6"/>
    </row>
    <row r="5" spans="1:73">
      <c r="A5" s="3"/>
      <c r="B5" s="3" t="b">
        <v>0</v>
      </c>
      <c r="C5" s="3" t="s">
        <v>11</v>
      </c>
      <c r="D5" s="4">
        <v>46244.535671296297</v>
      </c>
      <c r="E5" s="5" t="s">
        <v>68</v>
      </c>
      <c r="F5" s="6" t="s">
        <v>23</v>
      </c>
      <c r="G5" s="3" t="s">
        <v>111</v>
      </c>
      <c r="H5" s="7">
        <v>3936.3333333333298</v>
      </c>
      <c r="I5" s="7">
        <v>10.118701479376</v>
      </c>
      <c r="J5" s="7">
        <v>4.9841685368519997</v>
      </c>
      <c r="K5" s="6">
        <v>830.89666666666699</v>
      </c>
      <c r="L5" s="6">
        <v>9.1762034423594407</v>
      </c>
      <c r="M5" s="6">
        <v>4.5779562416016502</v>
      </c>
      <c r="N5" s="7">
        <v>256.94</v>
      </c>
      <c r="O5" s="7">
        <v>16.5814488890734</v>
      </c>
      <c r="P5" s="7">
        <v>5.8524287431498898</v>
      </c>
      <c r="Q5" s="6">
        <v>3036.8533333333298</v>
      </c>
      <c r="R5" s="6">
        <v>57.122585018850998</v>
      </c>
      <c r="S5" s="6">
        <v>4.3796957662912002</v>
      </c>
      <c r="T5" s="7">
        <v>21.69</v>
      </c>
      <c r="U5" s="7">
        <v>78.068476552642394</v>
      </c>
      <c r="V5" s="7">
        <v>7.1367273738081503</v>
      </c>
      <c r="W5" s="6">
        <v>932.68</v>
      </c>
      <c r="X5" s="6">
        <v>68.6498634220425</v>
      </c>
      <c r="Y5" s="6">
        <v>3.0616601476082801</v>
      </c>
      <c r="Z5" s="7">
        <v>9409.5400000000009</v>
      </c>
      <c r="AA5" s="7">
        <v>1.7591437659347799</v>
      </c>
      <c r="AB5" s="7">
        <v>5.1103256474072696</v>
      </c>
      <c r="AC5" s="6">
        <v>4293.4833333333299</v>
      </c>
      <c r="AD5" s="6">
        <v>2.2822089307646301</v>
      </c>
      <c r="AE5" s="6">
        <v>5.1179338214417998</v>
      </c>
      <c r="AF5" s="7">
        <v>35846.44</v>
      </c>
      <c r="AG5" s="7">
        <v>0.38186343168082698</v>
      </c>
      <c r="AH5" s="7">
        <v>6.1582150155350099</v>
      </c>
      <c r="AI5" s="6">
        <v>18359.1466666667</v>
      </c>
      <c r="AJ5" s="6">
        <v>0.35362003111484203</v>
      </c>
      <c r="AK5" s="6">
        <v>5.2688529660986996</v>
      </c>
      <c r="AL5" s="7">
        <v>5109.6000000000004</v>
      </c>
      <c r="AM5" s="7">
        <v>3.87559310741812</v>
      </c>
      <c r="AN5" s="7">
        <v>5.0868845870035804</v>
      </c>
      <c r="AO5" s="6">
        <v>15180.573333333299</v>
      </c>
      <c r="AP5" s="6">
        <v>1.58023944965403</v>
      </c>
      <c r="AQ5" s="6">
        <v>5.3500746047713799</v>
      </c>
      <c r="AR5" s="7">
        <v>7067.4733333333297</v>
      </c>
      <c r="AS5" s="7">
        <v>22.111029237113001</v>
      </c>
      <c r="AT5" s="7">
        <v>2.0426575889755401</v>
      </c>
      <c r="AU5" s="6">
        <v>2199.1566666666699</v>
      </c>
      <c r="AV5" s="6">
        <v>6.3952031740548501</v>
      </c>
      <c r="AW5" s="6">
        <v>5.2467796983965904</v>
      </c>
      <c r="AX5" s="7">
        <v>23267.17</v>
      </c>
      <c r="AY5" s="7">
        <v>3.6673994856896299</v>
      </c>
      <c r="AZ5" s="7">
        <v>8.8142730089470405</v>
      </c>
      <c r="BA5" s="6">
        <v>3103.61</v>
      </c>
      <c r="BB5" s="6">
        <v>5.2766976607506004</v>
      </c>
      <c r="BC5" s="6">
        <v>5.07778908045485</v>
      </c>
      <c r="BD5" s="7">
        <v>2162.4499999999998</v>
      </c>
      <c r="BE5" s="7">
        <v>1.62540028110515</v>
      </c>
      <c r="BF5" s="7">
        <v>5.1175968323566998</v>
      </c>
      <c r="BG5" s="6">
        <v>40290.333333333299</v>
      </c>
      <c r="BH5" s="6">
        <v>1.3066833568124601</v>
      </c>
      <c r="BI5" s="6">
        <v>5.19923463032067</v>
      </c>
      <c r="BJ5" s="7"/>
      <c r="BK5" s="7"/>
      <c r="BL5" s="6"/>
      <c r="BM5" s="6"/>
      <c r="BN5" s="7"/>
      <c r="BO5" s="7"/>
      <c r="BP5" s="6"/>
      <c r="BQ5" s="6"/>
      <c r="BR5" s="7"/>
      <c r="BS5" s="7"/>
      <c r="BT5" s="6"/>
      <c r="BU5" s="6"/>
    </row>
    <row r="6" spans="1:73">
      <c r="A6" s="3"/>
      <c r="B6" s="3" t="b">
        <v>0</v>
      </c>
      <c r="C6" s="3" t="s">
        <v>80</v>
      </c>
      <c r="D6" s="4">
        <v>46244.5387962963</v>
      </c>
      <c r="E6" s="5" t="s">
        <v>68</v>
      </c>
      <c r="F6" s="6" t="s">
        <v>54</v>
      </c>
      <c r="G6" s="3" t="s">
        <v>97</v>
      </c>
      <c r="H6" s="7">
        <v>14903.1133333333</v>
      </c>
      <c r="I6" s="7">
        <v>3.3513545564623102</v>
      </c>
      <c r="J6" s="7">
        <v>44.304904850853603</v>
      </c>
      <c r="K6" s="6">
        <v>6311.3333333333303</v>
      </c>
      <c r="L6" s="6">
        <v>5.3939724419312496</v>
      </c>
      <c r="M6" s="6">
        <v>48.038009902714201</v>
      </c>
      <c r="N6" s="7">
        <v>2037.2833333333299</v>
      </c>
      <c r="O6" s="7">
        <v>3.6708445243028298</v>
      </c>
      <c r="P6" s="7">
        <v>51.4366285477726</v>
      </c>
      <c r="Q6" s="6">
        <v>6217.8266666666696</v>
      </c>
      <c r="R6" s="6">
        <v>1.2867784219937</v>
      </c>
      <c r="S6" s="6">
        <v>47.8609865447348</v>
      </c>
      <c r="T6" s="7">
        <v>106.78</v>
      </c>
      <c r="U6" s="7">
        <v>33.084347770339399</v>
      </c>
      <c r="V6" s="7">
        <v>52.636037981001103</v>
      </c>
      <c r="W6" s="6">
        <v>1700.22</v>
      </c>
      <c r="X6" s="6">
        <v>12.966365400200599</v>
      </c>
      <c r="Y6" s="6">
        <v>48.494668390733601</v>
      </c>
      <c r="Z6" s="7">
        <v>89369.373333333293</v>
      </c>
      <c r="AA6" s="7">
        <v>0.83833077827163305</v>
      </c>
      <c r="AB6" s="7">
        <v>48.979944570048602</v>
      </c>
      <c r="AC6" s="6">
        <v>40846.166666666701</v>
      </c>
      <c r="AD6" s="6">
        <v>0.74258173394139304</v>
      </c>
      <c r="AE6" s="6">
        <v>49.013692865062502</v>
      </c>
      <c r="AF6" s="7">
        <v>267839.32666666701</v>
      </c>
      <c r="AG6" s="7">
        <v>0.63672805465926896</v>
      </c>
      <c r="AH6" s="7">
        <v>49.080090886833197</v>
      </c>
      <c r="AI6" s="6">
        <v>170293.89666666699</v>
      </c>
      <c r="AJ6" s="6">
        <v>0.965519883382009</v>
      </c>
      <c r="AK6" s="6">
        <v>49.027372563201403</v>
      </c>
      <c r="AL6" s="7">
        <v>48740.646666666697</v>
      </c>
      <c r="AM6" s="7">
        <v>1.3259649434785299</v>
      </c>
      <c r="AN6" s="7">
        <v>49.1279159537184</v>
      </c>
      <c r="AO6" s="6">
        <v>138621.183333333</v>
      </c>
      <c r="AP6" s="6">
        <v>0.10550527086400301</v>
      </c>
      <c r="AQ6" s="6">
        <v>49.642749019604103</v>
      </c>
      <c r="AR6" s="7">
        <v>22990.633333333299</v>
      </c>
      <c r="AS6" s="7">
        <v>3.3699755976838199</v>
      </c>
      <c r="AT6" s="7">
        <v>44.497577985873903</v>
      </c>
      <c r="AU6" s="6">
        <v>20198.580000000002</v>
      </c>
      <c r="AV6" s="6">
        <v>2.25033065006919</v>
      </c>
      <c r="AW6" s="6">
        <v>48.190063530613699</v>
      </c>
      <c r="AX6" s="7">
        <v>254346.53333333301</v>
      </c>
      <c r="AY6" s="7">
        <v>0.70691900471390701</v>
      </c>
      <c r="AZ6" s="7">
        <v>96.554812288225307</v>
      </c>
      <c r="BA6" s="6">
        <v>29816.106666666699</v>
      </c>
      <c r="BB6" s="6">
        <v>1.47399101535503</v>
      </c>
      <c r="BC6" s="6">
        <v>48.805399506732201</v>
      </c>
      <c r="BD6" s="7">
        <v>20610.256666666701</v>
      </c>
      <c r="BE6" s="7">
        <v>1.06001770415036</v>
      </c>
      <c r="BF6" s="7">
        <v>48.910833126744997</v>
      </c>
      <c r="BG6" s="6">
        <v>379474.80666666699</v>
      </c>
      <c r="BH6" s="6">
        <v>0.18577057873318201</v>
      </c>
      <c r="BI6" s="6">
        <v>49.4158053499376</v>
      </c>
      <c r="BJ6" s="7"/>
      <c r="BK6" s="7"/>
      <c r="BL6" s="6"/>
      <c r="BM6" s="6"/>
      <c r="BN6" s="7"/>
      <c r="BO6" s="7"/>
      <c r="BP6" s="6"/>
      <c r="BQ6" s="6"/>
      <c r="BR6" s="7"/>
      <c r="BS6" s="7"/>
      <c r="BT6" s="6"/>
      <c r="BU6" s="6"/>
    </row>
    <row r="7" spans="1:73">
      <c r="A7" s="3"/>
      <c r="B7" s="3" t="b">
        <v>0</v>
      </c>
      <c r="C7" s="3" t="s">
        <v>83</v>
      </c>
      <c r="D7" s="4">
        <v>46244.541956018496</v>
      </c>
      <c r="E7" s="5" t="s">
        <v>68</v>
      </c>
      <c r="F7" s="6" t="s">
        <v>107</v>
      </c>
      <c r="G7" s="3" t="s">
        <v>39</v>
      </c>
      <c r="H7" s="7">
        <v>29234.11</v>
      </c>
      <c r="I7" s="7">
        <v>1.51332101888681</v>
      </c>
      <c r="J7" s="7">
        <v>95.6878395907531</v>
      </c>
      <c r="K7" s="6">
        <v>13393.39</v>
      </c>
      <c r="L7" s="6">
        <v>2.2694823351751801</v>
      </c>
      <c r="M7" s="6">
        <v>104.198965951418</v>
      </c>
      <c r="N7" s="7">
        <v>4186.6666666666697</v>
      </c>
      <c r="O7" s="7">
        <v>4.39813840237517</v>
      </c>
      <c r="P7" s="7">
        <v>106.469788438314</v>
      </c>
      <c r="Q7" s="6">
        <v>9943.83</v>
      </c>
      <c r="R7" s="6">
        <v>3.4976115537155299</v>
      </c>
      <c r="S7" s="6">
        <v>98.792389420830503</v>
      </c>
      <c r="T7" s="7">
        <v>266.95333333333298</v>
      </c>
      <c r="U7" s="7">
        <v>14.526878386992101</v>
      </c>
      <c r="V7" s="7">
        <v>138.28389606447499</v>
      </c>
      <c r="W7" s="6">
        <v>2699.76</v>
      </c>
      <c r="X7" s="6">
        <v>15.659227569026701</v>
      </c>
      <c r="Y7" s="6">
        <v>107.660456570286</v>
      </c>
      <c r="Z7" s="7">
        <v>193264.19</v>
      </c>
      <c r="AA7" s="7">
        <v>0.87963454231998395</v>
      </c>
      <c r="AB7" s="7">
        <v>105.98138923544499</v>
      </c>
      <c r="AC7" s="6">
        <v>88311.093333333294</v>
      </c>
      <c r="AD7" s="6">
        <v>0.92294234507269701</v>
      </c>
      <c r="AE7" s="6">
        <v>106.013857941401</v>
      </c>
      <c r="AF7" s="7">
        <v>569166.69333333301</v>
      </c>
      <c r="AG7" s="7">
        <v>0.10569573706687301</v>
      </c>
      <c r="AH7" s="7">
        <v>104.829799485766</v>
      </c>
      <c r="AI7" s="6">
        <v>368172.93</v>
      </c>
      <c r="AJ7" s="6">
        <v>0.48434795721815899</v>
      </c>
      <c r="AK7" s="6">
        <v>106.018242380491</v>
      </c>
      <c r="AL7" s="7">
        <v>105082.86</v>
      </c>
      <c r="AM7" s="7">
        <v>0.52365987719738905</v>
      </c>
      <c r="AN7" s="7">
        <v>105.99955608742199</v>
      </c>
      <c r="AO7" s="6">
        <v>297921.37</v>
      </c>
      <c r="AP7" s="6">
        <v>0.29914545785423002</v>
      </c>
      <c r="AQ7" s="6">
        <v>106.802473864197</v>
      </c>
      <c r="AR7" s="7">
        <v>44375.9</v>
      </c>
      <c r="AS7" s="7">
        <v>0.64090919249364298</v>
      </c>
      <c r="AT7" s="7">
        <v>101.515769977902</v>
      </c>
      <c r="AU7" s="6">
        <v>44021.456666666701</v>
      </c>
      <c r="AV7" s="6">
        <v>0.78310339388014405</v>
      </c>
      <c r="AW7" s="6">
        <v>105.027026329416</v>
      </c>
      <c r="AX7" s="7">
        <v>549007.89</v>
      </c>
      <c r="AY7" s="7">
        <v>0.53325497493070795</v>
      </c>
      <c r="AZ7" s="7">
        <v>208.43735327222001</v>
      </c>
      <c r="BA7" s="6">
        <v>65181.543333333299</v>
      </c>
      <c r="BB7" s="6">
        <v>0.46841382075690302</v>
      </c>
      <c r="BC7" s="6">
        <v>106.697630862438</v>
      </c>
      <c r="BD7" s="7">
        <v>44919.603333333303</v>
      </c>
      <c r="BE7" s="7">
        <v>1.3269379273472801</v>
      </c>
      <c r="BF7" s="7">
        <v>106.618775429671</v>
      </c>
      <c r="BG7" s="6">
        <v>814015.313333333</v>
      </c>
      <c r="BH7" s="6">
        <v>0.42476831395244302</v>
      </c>
      <c r="BI7" s="6">
        <v>106.063124299241</v>
      </c>
      <c r="BJ7" s="7"/>
      <c r="BK7" s="7"/>
      <c r="BL7" s="6"/>
      <c r="BM7" s="6"/>
      <c r="BN7" s="7"/>
      <c r="BO7" s="7"/>
      <c r="BP7" s="6"/>
      <c r="BQ7" s="6"/>
      <c r="BR7" s="7"/>
      <c r="BS7" s="7"/>
      <c r="BT7" s="6"/>
      <c r="BU7" s="6"/>
    </row>
    <row r="8" spans="1:73">
      <c r="A8" s="3"/>
      <c r="B8" s="3" t="b">
        <v>0</v>
      </c>
      <c r="C8" s="3" t="s">
        <v>24</v>
      </c>
      <c r="D8" s="4">
        <v>46244.545081018499</v>
      </c>
      <c r="E8" s="5" t="s">
        <v>68</v>
      </c>
      <c r="F8" s="6" t="s">
        <v>111</v>
      </c>
      <c r="G8" s="3" t="s">
        <v>92</v>
      </c>
      <c r="H8" s="7">
        <v>92027.563333333295</v>
      </c>
      <c r="I8" s="7">
        <v>0.44854123428263598</v>
      </c>
      <c r="J8" s="7">
        <v>320.83002542520597</v>
      </c>
      <c r="K8" s="6">
        <v>24154.886666666702</v>
      </c>
      <c r="L8" s="6">
        <v>1.3201871780901699</v>
      </c>
      <c r="M8" s="6">
        <v>189.538009362293</v>
      </c>
      <c r="N8" s="7">
        <v>7326.1733333333304</v>
      </c>
      <c r="O8" s="7">
        <v>1.6260804018208801</v>
      </c>
      <c r="P8" s="7">
        <v>186.85422693497699</v>
      </c>
      <c r="Q8" s="6">
        <v>24704.81</v>
      </c>
      <c r="R8" s="6">
        <v>0.70836969880082901</v>
      </c>
      <c r="S8" s="6">
        <v>300.56285282871499</v>
      </c>
      <c r="T8" s="7">
        <v>338.696666666667</v>
      </c>
      <c r="U8" s="7">
        <v>6.9976907891609201</v>
      </c>
      <c r="V8" s="7">
        <v>176.64647929786</v>
      </c>
      <c r="W8" s="6">
        <v>4139.95</v>
      </c>
      <c r="X8" s="6">
        <v>1.3830958281165</v>
      </c>
      <c r="Y8" s="6">
        <v>192.90964767650399</v>
      </c>
      <c r="Z8" s="7">
        <v>335764.54333333299</v>
      </c>
      <c r="AA8" s="7">
        <v>0.174345436087568</v>
      </c>
      <c r="AB8" s="7">
        <v>184.16359568170401</v>
      </c>
      <c r="AC8" s="6">
        <v>153323.76</v>
      </c>
      <c r="AD8" s="6">
        <v>1.09472884616162</v>
      </c>
      <c r="AE8" s="6">
        <v>184.086931941437</v>
      </c>
      <c r="AF8" s="7">
        <v>999866.46</v>
      </c>
      <c r="AG8" s="7">
        <v>0.53138175591122605</v>
      </c>
      <c r="AH8" s="7">
        <v>184.51518203469499</v>
      </c>
      <c r="AI8" s="6">
        <v>642056.21333333303</v>
      </c>
      <c r="AJ8" s="6">
        <v>0.26992888258168701</v>
      </c>
      <c r="AK8" s="6">
        <v>184.89899231466001</v>
      </c>
      <c r="AL8" s="7">
        <v>183918.79333333299</v>
      </c>
      <c r="AM8" s="7">
        <v>0.71787678138648903</v>
      </c>
      <c r="AN8" s="7">
        <v>185.576281332707</v>
      </c>
      <c r="AO8" s="6">
        <v>520791.65666666703</v>
      </c>
      <c r="AP8" s="6">
        <v>9.5555774556223896E-2</v>
      </c>
      <c r="AQ8" s="6">
        <v>186.77227508331899</v>
      </c>
      <c r="AR8" s="7">
        <v>78270.0566666667</v>
      </c>
      <c r="AS8" s="7">
        <v>0.75800756488296295</v>
      </c>
      <c r="AT8" s="7">
        <v>191.88562892570701</v>
      </c>
      <c r="AU8" s="6">
        <v>77178.966666666704</v>
      </c>
      <c r="AV8" s="6">
        <v>0.81074758966177796</v>
      </c>
      <c r="AW8" s="6">
        <v>184.13469198794101</v>
      </c>
      <c r="AX8" s="7">
        <v>973678.98</v>
      </c>
      <c r="AY8" s="7">
        <v>0.29794457329456098</v>
      </c>
      <c r="AZ8" s="7">
        <v>369.684424042317</v>
      </c>
      <c r="BA8" s="6">
        <v>113058.063333333</v>
      </c>
      <c r="BB8" s="6">
        <v>0.32514805388962897</v>
      </c>
      <c r="BC8" s="6">
        <v>185.07015594873201</v>
      </c>
      <c r="BD8" s="7">
        <v>78125.673333333296</v>
      </c>
      <c r="BE8" s="7">
        <v>0.54539591620945305</v>
      </c>
      <c r="BF8" s="7">
        <v>185.446643489758</v>
      </c>
      <c r="BG8" s="6">
        <v>1414167.5</v>
      </c>
      <c r="BH8" s="6">
        <v>0.27360254166550102</v>
      </c>
      <c r="BI8" s="6">
        <v>184.29981757558801</v>
      </c>
      <c r="BJ8" s="7"/>
      <c r="BK8" s="7"/>
      <c r="BL8" s="6"/>
      <c r="BM8" s="6"/>
      <c r="BN8" s="7"/>
      <c r="BO8" s="7"/>
      <c r="BP8" s="6"/>
      <c r="BQ8" s="6"/>
      <c r="BR8" s="7"/>
      <c r="BS8" s="7"/>
      <c r="BT8" s="6"/>
      <c r="BU8" s="6"/>
    </row>
    <row r="9" spans="1:73">
      <c r="A9" s="3"/>
      <c r="B9" s="3" t="b">
        <v>0</v>
      </c>
      <c r="C9" s="3" t="s">
        <v>53</v>
      </c>
      <c r="D9" s="4">
        <v>46244.548229166699</v>
      </c>
      <c r="E9" s="5" t="s">
        <v>68</v>
      </c>
      <c r="F9" s="6" t="s">
        <v>108</v>
      </c>
      <c r="G9" s="3" t="s">
        <v>59</v>
      </c>
      <c r="H9" s="7">
        <v>128918.44666666701</v>
      </c>
      <c r="I9" s="7">
        <v>1.32107553050379</v>
      </c>
      <c r="J9" s="7">
        <v>453.10008974131301</v>
      </c>
      <c r="K9" s="6">
        <v>63752.116666666698</v>
      </c>
      <c r="L9" s="6">
        <v>1.9950861246382201</v>
      </c>
      <c r="M9" s="6">
        <v>503.545422512112</v>
      </c>
      <c r="N9" s="7">
        <v>19705.330000000002</v>
      </c>
      <c r="O9" s="7">
        <v>0.74209861956965295</v>
      </c>
      <c r="P9" s="7">
        <v>503.81216439613797</v>
      </c>
      <c r="Q9" s="6">
        <v>36386.1</v>
      </c>
      <c r="R9" s="6">
        <v>1.36349172765814</v>
      </c>
      <c r="S9" s="6">
        <v>460.23648537221101</v>
      </c>
      <c r="T9" s="7">
        <v>946.03</v>
      </c>
      <c r="U9" s="7">
        <v>11.210872555719799</v>
      </c>
      <c r="V9" s="7">
        <v>501.39965799612298</v>
      </c>
      <c r="W9" s="6">
        <v>9352.7999999999993</v>
      </c>
      <c r="X9" s="6">
        <v>1.13261399117411</v>
      </c>
      <c r="Y9" s="6">
        <v>501.473966174792</v>
      </c>
      <c r="Z9" s="7">
        <v>920979.35333333304</v>
      </c>
      <c r="AA9" s="7">
        <v>0.34074878664080599</v>
      </c>
      <c r="AB9" s="7">
        <v>505.23918616675002</v>
      </c>
      <c r="AC9" s="6">
        <v>420769.506666667</v>
      </c>
      <c r="AD9" s="6">
        <v>0.30511314816156399</v>
      </c>
      <c r="AE9" s="6">
        <v>505.259907010424</v>
      </c>
      <c r="AF9" s="7">
        <v>2733754.7766666701</v>
      </c>
      <c r="AG9" s="7">
        <v>0.65743778945357301</v>
      </c>
      <c r="AH9" s="7">
        <v>505.30837605012999</v>
      </c>
      <c r="AI9" s="6">
        <v>1753246.2966666699</v>
      </c>
      <c r="AJ9" s="6">
        <v>0.27930508998722497</v>
      </c>
      <c r="AK9" s="6">
        <v>504.93132881205702</v>
      </c>
      <c r="AL9" s="7">
        <v>500028.066666667</v>
      </c>
      <c r="AM9" s="7">
        <v>0.246726697108865</v>
      </c>
      <c r="AN9" s="7">
        <v>504.65591580819103</v>
      </c>
      <c r="AO9" s="6">
        <v>1404779.6933333301</v>
      </c>
      <c r="AP9" s="6">
        <v>0.28087512782533802</v>
      </c>
      <c r="AQ9" s="6">
        <v>503.96281954582503</v>
      </c>
      <c r="AR9" s="7">
        <v>195152.67666666699</v>
      </c>
      <c r="AS9" s="7">
        <v>0.58301326561656297</v>
      </c>
      <c r="AT9" s="7">
        <v>503.52241005965999</v>
      </c>
      <c r="AU9" s="6">
        <v>211885.4</v>
      </c>
      <c r="AV9" s="6">
        <v>0.43473205216963201</v>
      </c>
      <c r="AW9" s="6">
        <v>505.51924378889498</v>
      </c>
      <c r="AX9" s="7">
        <v>1068650.88666667</v>
      </c>
      <c r="AY9" s="7">
        <v>0.427155314455614</v>
      </c>
      <c r="AZ9" s="7">
        <v>405.74513576971702</v>
      </c>
      <c r="BA9" s="6">
        <v>308346.02666666702</v>
      </c>
      <c r="BB9" s="6">
        <v>0.490799635755018</v>
      </c>
      <c r="BC9" s="6">
        <v>504.75109360654199</v>
      </c>
      <c r="BD9" s="7">
        <v>212570.58333333299</v>
      </c>
      <c r="BE9" s="7">
        <v>0.43440343253895303</v>
      </c>
      <c r="BF9" s="7">
        <v>504.60532823716397</v>
      </c>
      <c r="BG9" s="6">
        <v>3875202.7466666698</v>
      </c>
      <c r="BH9" s="6">
        <v>0.34939719784624002</v>
      </c>
      <c r="BI9" s="6">
        <v>505.12387522862002</v>
      </c>
      <c r="BJ9" s="7"/>
      <c r="BK9" s="7"/>
      <c r="BL9" s="6"/>
      <c r="BM9" s="6"/>
      <c r="BN9" s="7"/>
      <c r="BO9" s="7"/>
      <c r="BP9" s="6"/>
      <c r="BQ9" s="6"/>
      <c r="BR9" s="7"/>
      <c r="BS9" s="7"/>
      <c r="BT9" s="6"/>
      <c r="BU9" s="6"/>
    </row>
    <row r="10" spans="1:73">
      <c r="A10" s="3"/>
      <c r="B10" s="3" t="b">
        <v>0</v>
      </c>
      <c r="C10" s="3" t="s">
        <v>10</v>
      </c>
      <c r="D10" s="4">
        <v>46244.551331018498</v>
      </c>
      <c r="E10" s="5" t="s">
        <v>26</v>
      </c>
      <c r="F10" s="6"/>
      <c r="G10" s="3" t="s">
        <v>22</v>
      </c>
      <c r="H10" s="7">
        <v>4508.7433333333302</v>
      </c>
      <c r="I10" s="7">
        <v>5.0342094475466599</v>
      </c>
      <c r="J10" s="7">
        <v>7.03651048895623</v>
      </c>
      <c r="K10" s="6">
        <v>50.053333333333299</v>
      </c>
      <c r="L10" s="6" t="s">
        <v>34</v>
      </c>
      <c r="M10" s="6" t="s">
        <v>30</v>
      </c>
      <c r="N10" s="7">
        <v>10.0133333333333</v>
      </c>
      <c r="O10" s="7" t="s">
        <v>34</v>
      </c>
      <c r="P10" s="7" t="s">
        <v>30</v>
      </c>
      <c r="Q10" s="6">
        <v>3585.9066666666699</v>
      </c>
      <c r="R10" s="6">
        <v>17.3267140637018</v>
      </c>
      <c r="S10" s="6">
        <v>11.8848035235208</v>
      </c>
      <c r="T10" s="7">
        <v>5.0066666666666704</v>
      </c>
      <c r="U10" s="7" t="s">
        <v>34</v>
      </c>
      <c r="V10" s="7" t="s">
        <v>30</v>
      </c>
      <c r="W10" s="6">
        <v>799.19666666666706</v>
      </c>
      <c r="X10" s="6" t="s">
        <v>34</v>
      </c>
      <c r="Y10" s="6" t="s">
        <v>30</v>
      </c>
      <c r="Z10" s="7">
        <v>437.136666666667</v>
      </c>
      <c r="AA10" s="7">
        <v>10.9836481625803</v>
      </c>
      <c r="AB10" s="7">
        <v>0.18765511840954399</v>
      </c>
      <c r="AC10" s="6">
        <v>65.066666666666706</v>
      </c>
      <c r="AD10" s="6">
        <v>45.000000831669198</v>
      </c>
      <c r="AE10" s="6">
        <v>4.0069702865101399E-2</v>
      </c>
      <c r="AF10" s="7">
        <v>6576.77</v>
      </c>
      <c r="AG10" s="7">
        <v>2.3406601966754499</v>
      </c>
      <c r="AH10" s="7">
        <v>0.74292336334328501</v>
      </c>
      <c r="AI10" s="6">
        <v>48.383333333333297</v>
      </c>
      <c r="AJ10" s="6" t="s">
        <v>34</v>
      </c>
      <c r="AK10" s="6" t="s">
        <v>30</v>
      </c>
      <c r="AL10" s="7">
        <v>173.51666666666699</v>
      </c>
      <c r="AM10" s="7">
        <v>20.143207438283</v>
      </c>
      <c r="AN10" s="7">
        <v>0.10441871647625101</v>
      </c>
      <c r="AO10" s="6">
        <v>598.97333333333302</v>
      </c>
      <c r="AP10" s="6">
        <v>29.2654714271284</v>
      </c>
      <c r="AQ10" s="6">
        <v>0.11793859015411</v>
      </c>
      <c r="AR10" s="7">
        <v>8406.2766666666703</v>
      </c>
      <c r="AS10" s="7">
        <v>11.391510474059601</v>
      </c>
      <c r="AT10" s="7">
        <v>5.6122247442241697</v>
      </c>
      <c r="AU10" s="6">
        <v>1.67</v>
      </c>
      <c r="AV10" s="6">
        <v>173.20508075688801</v>
      </c>
      <c r="AW10" s="6">
        <v>3.9843100899233999E-3</v>
      </c>
      <c r="AX10" s="7">
        <v>513.113333333333</v>
      </c>
      <c r="AY10" s="7">
        <v>8.7186074400018807</v>
      </c>
      <c r="AZ10" s="7">
        <v>0.17458673871660599</v>
      </c>
      <c r="BA10" s="6">
        <v>21.69</v>
      </c>
      <c r="BB10" s="6">
        <v>14.4481760671329</v>
      </c>
      <c r="BC10" s="6">
        <v>3.2772180438920898E-2</v>
      </c>
      <c r="BD10" s="7">
        <v>3.33666666666667</v>
      </c>
      <c r="BE10" s="7" t="s">
        <v>34</v>
      </c>
      <c r="BF10" s="7" t="s">
        <v>30</v>
      </c>
      <c r="BG10" s="6">
        <v>450.48333333333301</v>
      </c>
      <c r="BH10" s="6">
        <v>64.2447089321943</v>
      </c>
      <c r="BI10" s="6">
        <v>5.6550785446241704E-3</v>
      </c>
      <c r="BJ10" s="7"/>
      <c r="BK10" s="7"/>
      <c r="BL10" s="6"/>
      <c r="BM10" s="6"/>
      <c r="BN10" s="7"/>
      <c r="BO10" s="7"/>
      <c r="BP10" s="6"/>
      <c r="BQ10" s="6"/>
      <c r="BR10" s="7"/>
      <c r="BS10" s="7"/>
      <c r="BT10" s="6"/>
      <c r="BU10" s="6"/>
    </row>
    <row r="11" spans="1:73">
      <c r="A11" s="3"/>
      <c r="B11" s="3" t="b">
        <v>0</v>
      </c>
      <c r="C11" s="3" t="s">
        <v>110</v>
      </c>
      <c r="D11" s="4">
        <v>46244.554409722201</v>
      </c>
      <c r="E11" s="5" t="s">
        <v>26</v>
      </c>
      <c r="F11" s="6"/>
      <c r="G11" s="3" t="s">
        <v>75</v>
      </c>
      <c r="H11" s="7">
        <v>24286.766666666699</v>
      </c>
      <c r="I11" s="7">
        <v>2.4585162980037798</v>
      </c>
      <c r="J11" s="7">
        <v>77.949434820635204</v>
      </c>
      <c r="K11" s="6">
        <v>1459.9466666666699</v>
      </c>
      <c r="L11" s="6">
        <v>4.98485516264659</v>
      </c>
      <c r="M11" s="6">
        <v>9.5663446526569995</v>
      </c>
      <c r="N11" s="7">
        <v>744.13333333333298</v>
      </c>
      <c r="O11" s="7">
        <v>5.2954367763521804</v>
      </c>
      <c r="P11" s="7">
        <v>18.3266059618587</v>
      </c>
      <c r="Q11" s="6">
        <v>4710.74</v>
      </c>
      <c r="R11" s="6">
        <v>5.5907212672841498</v>
      </c>
      <c r="S11" s="6">
        <v>27.260350602597001</v>
      </c>
      <c r="T11" s="7">
        <v>66.739999999999995</v>
      </c>
      <c r="U11" s="7">
        <v>21.5736450136054</v>
      </c>
      <c r="V11" s="7">
        <v>31.225855859576701</v>
      </c>
      <c r="W11" s="6">
        <v>1800.34666666667</v>
      </c>
      <c r="X11" s="6">
        <v>7.0223525259782296</v>
      </c>
      <c r="Y11" s="6">
        <v>54.421467869618503</v>
      </c>
      <c r="Z11" s="7">
        <v>301.99</v>
      </c>
      <c r="AA11" s="7">
        <v>20.146565503382401</v>
      </c>
      <c r="AB11" s="7">
        <v>0.11350748054972</v>
      </c>
      <c r="AC11" s="6">
        <v>133.47333333333299</v>
      </c>
      <c r="AD11" s="6">
        <v>51.653824172192799</v>
      </c>
      <c r="AE11" s="6">
        <v>0.12221859818953799</v>
      </c>
      <c r="AF11" s="7">
        <v>54108.160000000003</v>
      </c>
      <c r="AG11" s="7">
        <v>1.4282391530160901</v>
      </c>
      <c r="AH11" s="7">
        <v>9.5368844665627304</v>
      </c>
      <c r="AI11" s="6">
        <v>58.393333333333302</v>
      </c>
      <c r="AJ11" s="6" t="s">
        <v>34</v>
      </c>
      <c r="AK11" s="6" t="s">
        <v>30</v>
      </c>
      <c r="AL11" s="7">
        <v>85.093333333333305</v>
      </c>
      <c r="AM11" s="7">
        <v>88.155371515559807</v>
      </c>
      <c r="AN11" s="7">
        <v>1.5164502002915E-2</v>
      </c>
      <c r="AO11" s="6">
        <v>33898.503333333298</v>
      </c>
      <c r="AP11" s="6">
        <v>0.477139070134173</v>
      </c>
      <c r="AQ11" s="6">
        <v>12.0663989911271</v>
      </c>
      <c r="AR11" s="7">
        <v>11917.3833333333</v>
      </c>
      <c r="AS11" s="7">
        <v>6.0001888107313004</v>
      </c>
      <c r="AT11" s="7">
        <v>14.9736677014231</v>
      </c>
      <c r="AU11" s="6">
        <v>0</v>
      </c>
      <c r="AV11" s="6" t="s">
        <v>34</v>
      </c>
      <c r="AW11" s="6">
        <v>0</v>
      </c>
      <c r="AX11" s="7">
        <v>20502.393333333301</v>
      </c>
      <c r="AY11" s="7">
        <v>0.881573869521591</v>
      </c>
      <c r="AZ11" s="7">
        <v>7.7644908379178901</v>
      </c>
      <c r="BA11" s="6">
        <v>15.016666666666699</v>
      </c>
      <c r="BB11" s="6">
        <v>64.930276277744397</v>
      </c>
      <c r="BC11" s="6">
        <v>2.1848120292613901E-2</v>
      </c>
      <c r="BD11" s="7">
        <v>33.369999999999997</v>
      </c>
      <c r="BE11" s="7">
        <v>60.261408266220499</v>
      </c>
      <c r="BF11" s="7">
        <v>6.3375199704274798E-2</v>
      </c>
      <c r="BG11" s="6">
        <v>9481.7066666666706</v>
      </c>
      <c r="BH11" s="6">
        <v>1.4179074454448399</v>
      </c>
      <c r="BI11" s="6">
        <v>1.1829782068074699</v>
      </c>
      <c r="BJ11" s="7"/>
      <c r="BK11" s="7"/>
      <c r="BL11" s="6"/>
      <c r="BM11" s="6"/>
      <c r="BN11" s="7"/>
      <c r="BO11" s="7"/>
      <c r="BP11" s="6"/>
      <c r="BQ11" s="6"/>
      <c r="BR11" s="7"/>
      <c r="BS11" s="7"/>
      <c r="BT11" s="6"/>
      <c r="BU11" s="6"/>
    </row>
    <row r="12" spans="1:73">
      <c r="A12" s="3"/>
      <c r="B12" s="3" t="b">
        <v>0</v>
      </c>
      <c r="C12" s="3" t="s">
        <v>76</v>
      </c>
      <c r="D12" s="4">
        <v>46244.557418981502</v>
      </c>
      <c r="E12" s="5" t="s">
        <v>26</v>
      </c>
      <c r="F12" s="6"/>
      <c r="G12" s="3" t="s">
        <v>45</v>
      </c>
      <c r="H12" s="7">
        <v>13747.46</v>
      </c>
      <c r="I12" s="7">
        <v>5.0711212088814399</v>
      </c>
      <c r="J12" s="7">
        <v>40.161378675404002</v>
      </c>
      <c r="K12" s="6">
        <v>740.79666666666697</v>
      </c>
      <c r="L12" s="6">
        <v>10.677333964747699</v>
      </c>
      <c r="M12" s="6">
        <v>3.8634601032404898</v>
      </c>
      <c r="N12" s="7">
        <v>615.66666666666697</v>
      </c>
      <c r="O12" s="7">
        <v>9.49051788228169</v>
      </c>
      <c r="P12" s="7">
        <v>15.037324567689099</v>
      </c>
      <c r="Q12" s="6">
        <v>4271.7866666666696</v>
      </c>
      <c r="R12" s="6">
        <v>12.152124479149</v>
      </c>
      <c r="S12" s="6">
        <v>21.260219345654502</v>
      </c>
      <c r="T12" s="7">
        <v>28.366666666666699</v>
      </c>
      <c r="U12" s="7">
        <v>57.725415627649298</v>
      </c>
      <c r="V12" s="7">
        <v>10.706873460156199</v>
      </c>
      <c r="W12" s="6">
        <v>1306.4366666666699</v>
      </c>
      <c r="X12" s="6">
        <v>7.1570049068675896</v>
      </c>
      <c r="Y12" s="6">
        <v>25.185444859271101</v>
      </c>
      <c r="Z12" s="7">
        <v>443.80666666666701</v>
      </c>
      <c r="AA12" s="7">
        <v>8.4126402436329304</v>
      </c>
      <c r="AB12" s="7">
        <v>0.19131458524452599</v>
      </c>
      <c r="AC12" s="6">
        <v>126.803333333333</v>
      </c>
      <c r="AD12" s="6">
        <v>28.989446435855001</v>
      </c>
      <c r="AE12" s="6">
        <v>0.114208660583837</v>
      </c>
      <c r="AF12" s="7">
        <v>43533.696666666699</v>
      </c>
      <c r="AG12" s="7">
        <v>1.2072676886535101</v>
      </c>
      <c r="AH12" s="7">
        <v>7.58046326279079</v>
      </c>
      <c r="AI12" s="6">
        <v>140.14666666666699</v>
      </c>
      <c r="AJ12" s="6">
        <v>50.3324060077965</v>
      </c>
      <c r="AK12" s="6">
        <v>2.1623688138167702E-2</v>
      </c>
      <c r="AL12" s="7">
        <v>95.1</v>
      </c>
      <c r="AM12" s="7">
        <v>79.984019176987601</v>
      </c>
      <c r="AN12" s="7">
        <v>2.5265197590390299E-2</v>
      </c>
      <c r="AO12" s="6">
        <v>34162.636666666702</v>
      </c>
      <c r="AP12" s="6">
        <v>0.43085936442488199</v>
      </c>
      <c r="AQ12" s="6">
        <v>12.1611747033943</v>
      </c>
      <c r="AR12" s="7">
        <v>10870.4766666667</v>
      </c>
      <c r="AS12" s="7">
        <v>8.7408395714681895</v>
      </c>
      <c r="AT12" s="7">
        <v>12.182366276560501</v>
      </c>
      <c r="AU12" s="6">
        <v>3.34</v>
      </c>
      <c r="AV12" s="6">
        <v>86.602540378443805</v>
      </c>
      <c r="AW12" s="6">
        <v>7.9686201798467894E-3</v>
      </c>
      <c r="AX12" s="7">
        <v>20305.5133333333</v>
      </c>
      <c r="AY12" s="7">
        <v>1.5661811899318401</v>
      </c>
      <c r="AZ12" s="7">
        <v>7.6897357532399697</v>
      </c>
      <c r="BA12" s="6">
        <v>5.0066666666666704</v>
      </c>
      <c r="BB12" s="6">
        <v>150.000024950073</v>
      </c>
      <c r="BC12" s="6">
        <v>5.4620300731534803E-3</v>
      </c>
      <c r="BD12" s="7">
        <v>33.369999999999997</v>
      </c>
      <c r="BE12" s="7">
        <v>39.029364479557998</v>
      </c>
      <c r="BF12" s="7">
        <v>6.3375199704274798E-2</v>
      </c>
      <c r="BG12" s="6">
        <v>26455.946666666699</v>
      </c>
      <c r="BH12" s="6">
        <v>2.33991187970806</v>
      </c>
      <c r="BI12" s="6">
        <v>3.3957642933750498</v>
      </c>
      <c r="BJ12" s="7"/>
      <c r="BK12" s="7"/>
      <c r="BL12" s="6"/>
      <c r="BM12" s="6"/>
      <c r="BN12" s="7"/>
      <c r="BO12" s="7"/>
      <c r="BP12" s="6"/>
      <c r="BQ12" s="6"/>
      <c r="BR12" s="7"/>
      <c r="BS12" s="7"/>
      <c r="BT12" s="6"/>
      <c r="BU12" s="6"/>
    </row>
    <row r="13" spans="1:73">
      <c r="A13" s="3"/>
      <c r="B13" s="3" t="b">
        <v>0</v>
      </c>
      <c r="C13" s="3" t="s">
        <v>8</v>
      </c>
      <c r="D13" s="4">
        <v>46244.560497685197</v>
      </c>
      <c r="E13" s="5" t="s">
        <v>26</v>
      </c>
      <c r="F13" s="6"/>
      <c r="G13" s="3" t="s">
        <v>35</v>
      </c>
      <c r="H13" s="7">
        <v>31609.7166666667</v>
      </c>
      <c r="I13" s="7">
        <v>0.53643494061315899</v>
      </c>
      <c r="J13" s="7">
        <v>104.205435760803</v>
      </c>
      <c r="K13" s="6">
        <v>1952.1766666666699</v>
      </c>
      <c r="L13" s="6">
        <v>6.9680840307621503</v>
      </c>
      <c r="M13" s="6">
        <v>13.4697456980012</v>
      </c>
      <c r="N13" s="7">
        <v>705.76333333333298</v>
      </c>
      <c r="O13" s="7">
        <v>4.4945409454552401</v>
      </c>
      <c r="P13" s="7">
        <v>17.344174251213001</v>
      </c>
      <c r="Q13" s="6">
        <v>5446.7333333333299</v>
      </c>
      <c r="R13" s="6">
        <v>7.0337283680957103</v>
      </c>
      <c r="S13" s="6">
        <v>37.320774499369499</v>
      </c>
      <c r="T13" s="7">
        <v>81.753333333333302</v>
      </c>
      <c r="U13" s="7">
        <v>20.828943698182801</v>
      </c>
      <c r="V13" s="7">
        <v>39.2537829553889</v>
      </c>
      <c r="W13" s="6">
        <v>1972.2066666666699</v>
      </c>
      <c r="X13" s="6">
        <v>1.5898625969453699</v>
      </c>
      <c r="Y13" s="6">
        <v>64.594379765628503</v>
      </c>
      <c r="Z13" s="7">
        <v>260.27666666666698</v>
      </c>
      <c r="AA13" s="7">
        <v>13.2088128341426</v>
      </c>
      <c r="AB13" s="7">
        <v>9.0621639483770902E-2</v>
      </c>
      <c r="AC13" s="6">
        <v>308.66333333333301</v>
      </c>
      <c r="AD13" s="6">
        <v>4.5468081588554803</v>
      </c>
      <c r="AE13" s="6">
        <v>0.332602551584257</v>
      </c>
      <c r="AF13" s="7">
        <v>49188.883333333302</v>
      </c>
      <c r="AG13" s="7">
        <v>1.77828121938544</v>
      </c>
      <c r="AH13" s="7">
        <v>8.6267506021282703</v>
      </c>
      <c r="AI13" s="6">
        <v>141.81333333333299</v>
      </c>
      <c r="AJ13" s="6">
        <v>30.121314426276001</v>
      </c>
      <c r="AK13" s="6">
        <v>2.2103702525891201E-2</v>
      </c>
      <c r="AL13" s="7">
        <v>265.28333333333302</v>
      </c>
      <c r="AM13" s="7">
        <v>30.768902432912402</v>
      </c>
      <c r="AN13" s="7">
        <v>0.19704768034140599</v>
      </c>
      <c r="AO13" s="6">
        <v>35828.083333333299</v>
      </c>
      <c r="AP13" s="6">
        <v>1.4170330241628299</v>
      </c>
      <c r="AQ13" s="6">
        <v>12.758766427559699</v>
      </c>
      <c r="AR13" s="7">
        <v>11451.5666666667</v>
      </c>
      <c r="AS13" s="7">
        <v>3.6571786011288498</v>
      </c>
      <c r="AT13" s="7">
        <v>13.731690009628201</v>
      </c>
      <c r="AU13" s="6">
        <v>5.0066666666666704</v>
      </c>
      <c r="AV13" s="6">
        <v>99.966727679775502</v>
      </c>
      <c r="AW13" s="6">
        <v>1.19449775550198E-2</v>
      </c>
      <c r="AX13" s="7">
        <v>22229.166666666701</v>
      </c>
      <c r="AY13" s="7">
        <v>0.65818767892169305</v>
      </c>
      <c r="AZ13" s="7">
        <v>8.4201444683166908</v>
      </c>
      <c r="BA13" s="6">
        <v>8.3433333333333302</v>
      </c>
      <c r="BB13" s="6">
        <v>216.549608958287</v>
      </c>
      <c r="BC13" s="6">
        <v>1.0924060146307001E-2</v>
      </c>
      <c r="BD13" s="7">
        <v>31.7</v>
      </c>
      <c r="BE13" s="7">
        <v>41.6337480176852</v>
      </c>
      <c r="BF13" s="7">
        <v>5.9410787786202499E-2</v>
      </c>
      <c r="BG13" s="6">
        <v>9865.8166666666693</v>
      </c>
      <c r="BH13" s="6">
        <v>0.75148275512611695</v>
      </c>
      <c r="BI13" s="6">
        <v>1.2330513331277999</v>
      </c>
      <c r="BJ13" s="7"/>
      <c r="BK13" s="7"/>
      <c r="BL13" s="6"/>
      <c r="BM13" s="6"/>
      <c r="BN13" s="7"/>
      <c r="BO13" s="7"/>
      <c r="BP13" s="6"/>
      <c r="BQ13" s="6"/>
      <c r="BR13" s="7"/>
      <c r="BS13" s="7"/>
      <c r="BT13" s="6"/>
      <c r="BU13" s="6"/>
    </row>
    <row r="14" spans="1:73">
      <c r="A14" s="3"/>
      <c r="B14" s="3" t="b">
        <v>0</v>
      </c>
      <c r="C14" s="3" t="s">
        <v>67</v>
      </c>
      <c r="D14" s="4">
        <v>46244.563506944403</v>
      </c>
      <c r="E14" s="5" t="s">
        <v>26</v>
      </c>
      <c r="F14" s="6"/>
      <c r="G14" s="3" t="s">
        <v>64</v>
      </c>
      <c r="H14" s="7">
        <v>20039.5</v>
      </c>
      <c r="I14" s="7">
        <v>2.7592509757832202</v>
      </c>
      <c r="J14" s="7">
        <v>62.721113229863001</v>
      </c>
      <c r="K14" s="6">
        <v>1006.09</v>
      </c>
      <c r="L14" s="6">
        <v>5.6832455458154403</v>
      </c>
      <c r="M14" s="6">
        <v>5.9672454772651999</v>
      </c>
      <c r="N14" s="7">
        <v>602.31666666666695</v>
      </c>
      <c r="O14" s="7">
        <v>1.00743359312814</v>
      </c>
      <c r="P14" s="7">
        <v>14.695508999872599</v>
      </c>
      <c r="Q14" s="6">
        <v>4702.3599999999997</v>
      </c>
      <c r="R14" s="6">
        <v>11.4604011875042</v>
      </c>
      <c r="S14" s="6">
        <v>27.145802890767701</v>
      </c>
      <c r="T14" s="7">
        <v>41.71</v>
      </c>
      <c r="U14" s="7">
        <v>48.215146733682403</v>
      </c>
      <c r="V14" s="7">
        <v>17.841818434520398</v>
      </c>
      <c r="W14" s="6">
        <v>1648.4933333333299</v>
      </c>
      <c r="X14" s="6">
        <v>4.9385488089535299</v>
      </c>
      <c r="Y14" s="6">
        <v>45.432810933068801</v>
      </c>
      <c r="Z14" s="7">
        <v>295.316666666667</v>
      </c>
      <c r="AA14" s="7">
        <v>13.230707302205399</v>
      </c>
      <c r="AB14" s="7">
        <v>0.10984618489573</v>
      </c>
      <c r="AC14" s="6">
        <v>121.79666666666699</v>
      </c>
      <c r="AD14" s="6">
        <v>27.404752133227699</v>
      </c>
      <c r="AE14" s="6">
        <v>0.10819620367041199</v>
      </c>
      <c r="AF14" s="7">
        <v>45553.766666666699</v>
      </c>
      <c r="AG14" s="7">
        <v>1.16554722491067</v>
      </c>
      <c r="AH14" s="7">
        <v>7.95420400560897</v>
      </c>
      <c r="AI14" s="6">
        <v>106.78</v>
      </c>
      <c r="AJ14" s="6">
        <v>24.978918021158702</v>
      </c>
      <c r="AK14" s="6">
        <v>1.2013800095943499E-2</v>
      </c>
      <c r="AL14" s="7">
        <v>98.436666666666696</v>
      </c>
      <c r="AM14" s="7">
        <v>125.19412722826701</v>
      </c>
      <c r="AN14" s="7">
        <v>2.8633217671357201E-2</v>
      </c>
      <c r="AO14" s="6">
        <v>36373.51</v>
      </c>
      <c r="AP14" s="6">
        <v>1.4415875671938401</v>
      </c>
      <c r="AQ14" s="6">
        <v>12.954475163638</v>
      </c>
      <c r="AR14" s="7">
        <v>10304.496666666701</v>
      </c>
      <c r="AS14" s="7">
        <v>4.1173627446755399</v>
      </c>
      <c r="AT14" s="7">
        <v>10.6733293865063</v>
      </c>
      <c r="AU14" s="6">
        <v>5.01</v>
      </c>
      <c r="AV14" s="6">
        <v>0</v>
      </c>
      <c r="AW14" s="6">
        <v>1.19529302697702E-2</v>
      </c>
      <c r="AX14" s="7">
        <v>22526.183333333302</v>
      </c>
      <c r="AY14" s="7">
        <v>1.49462260433046</v>
      </c>
      <c r="AZ14" s="7">
        <v>8.5329213175010796</v>
      </c>
      <c r="BA14" s="6">
        <v>3.34</v>
      </c>
      <c r="BB14" s="6">
        <v>173.20508075688801</v>
      </c>
      <c r="BC14" s="6">
        <v>2.7337433233265698E-3</v>
      </c>
      <c r="BD14" s="7">
        <v>28.363333333333301</v>
      </c>
      <c r="BE14" s="7">
        <v>48.031065263922002</v>
      </c>
      <c r="BF14" s="7">
        <v>5.1489876947898201E-2</v>
      </c>
      <c r="BG14" s="6">
        <v>5960.96</v>
      </c>
      <c r="BH14" s="6">
        <v>2.4468889797865798</v>
      </c>
      <c r="BI14" s="6">
        <v>0.72400866011029397</v>
      </c>
      <c r="BJ14" s="7"/>
      <c r="BK14" s="7"/>
      <c r="BL14" s="6"/>
      <c r="BM14" s="6"/>
      <c r="BN14" s="7"/>
      <c r="BO14" s="7"/>
      <c r="BP14" s="6"/>
      <c r="BQ14" s="6"/>
      <c r="BR14" s="7"/>
      <c r="BS14" s="7"/>
      <c r="BT14" s="6"/>
      <c r="BU14" s="6"/>
    </row>
    <row r="15" spans="1:73">
      <c r="A15" s="3"/>
      <c r="B15" s="3" t="b">
        <v>0</v>
      </c>
      <c r="C15" s="3" t="s">
        <v>0</v>
      </c>
      <c r="D15" s="4">
        <v>46244.566585648201</v>
      </c>
      <c r="E15" s="5" t="s">
        <v>26</v>
      </c>
      <c r="F15" s="6"/>
      <c r="G15" s="3" t="s">
        <v>65</v>
      </c>
      <c r="H15" s="7">
        <v>19110.5566666667</v>
      </c>
      <c r="I15" s="7">
        <v>0.98502878413964201</v>
      </c>
      <c r="J15" s="7">
        <v>59.390442252543401</v>
      </c>
      <c r="K15" s="6">
        <v>1134.56666666667</v>
      </c>
      <c r="L15" s="6">
        <v>13.4972601998995</v>
      </c>
      <c r="M15" s="6">
        <v>6.9860699190282096</v>
      </c>
      <c r="N15" s="7">
        <v>799.2</v>
      </c>
      <c r="O15" s="7">
        <v>10.4983946296495</v>
      </c>
      <c r="P15" s="7">
        <v>19.736541837096901</v>
      </c>
      <c r="Q15" s="6">
        <v>4567.16</v>
      </c>
      <c r="R15" s="6">
        <v>5.4465606258162698</v>
      </c>
      <c r="S15" s="6">
        <v>25.297730022113601</v>
      </c>
      <c r="T15" s="7">
        <v>75.08</v>
      </c>
      <c r="U15" s="7">
        <v>32.696984592499597</v>
      </c>
      <c r="V15" s="7">
        <v>35.6854192684848</v>
      </c>
      <c r="W15" s="6">
        <v>1658.5</v>
      </c>
      <c r="X15" s="6">
        <v>11.964674974903</v>
      </c>
      <c r="Y15" s="6">
        <v>46.025135722855502</v>
      </c>
      <c r="Z15" s="7">
        <v>276.96333333333303</v>
      </c>
      <c r="AA15" s="7">
        <v>15.1589763730092</v>
      </c>
      <c r="AB15" s="7">
        <v>9.9776707437753701E-2</v>
      </c>
      <c r="AC15" s="6">
        <v>131.803333333333</v>
      </c>
      <c r="AD15" s="6">
        <v>20.815966822273001</v>
      </c>
      <c r="AE15" s="6">
        <v>0.120213111562623</v>
      </c>
      <c r="AF15" s="7">
        <v>49838.596666666701</v>
      </c>
      <c r="AG15" s="7">
        <v>1.31832365013918</v>
      </c>
      <c r="AH15" s="7">
        <v>8.7469565077745397</v>
      </c>
      <c r="AI15" s="6">
        <v>266.95</v>
      </c>
      <c r="AJ15" s="6">
        <v>23.035602243293201</v>
      </c>
      <c r="AK15" s="6">
        <v>5.8144142784946097E-2</v>
      </c>
      <c r="AL15" s="7">
        <v>130.13999999999999</v>
      </c>
      <c r="AM15" s="7">
        <v>58.331946062926598</v>
      </c>
      <c r="AN15" s="7">
        <v>6.0634455423681399E-2</v>
      </c>
      <c r="AO15" s="6">
        <v>55652.5566666667</v>
      </c>
      <c r="AP15" s="6">
        <v>0.94171531756734395</v>
      </c>
      <c r="AQ15" s="6">
        <v>19.872138135613199</v>
      </c>
      <c r="AR15" s="7">
        <v>12374.9233333333</v>
      </c>
      <c r="AS15" s="7">
        <v>5.0668571937846396</v>
      </c>
      <c r="AT15" s="7">
        <v>16.193577837250299</v>
      </c>
      <c r="AU15" s="6">
        <v>0</v>
      </c>
      <c r="AV15" s="6" t="s">
        <v>34</v>
      </c>
      <c r="AW15" s="6">
        <v>0</v>
      </c>
      <c r="AX15" s="7">
        <v>21878.89</v>
      </c>
      <c r="AY15" s="7">
        <v>0.75694314091071901</v>
      </c>
      <c r="AZ15" s="7">
        <v>8.2871448651199895</v>
      </c>
      <c r="BA15" s="6">
        <v>0</v>
      </c>
      <c r="BB15" s="6">
        <v>0</v>
      </c>
      <c r="BC15" s="6" t="s">
        <v>30</v>
      </c>
      <c r="BD15" s="7">
        <v>63.4</v>
      </c>
      <c r="BE15" s="7">
        <v>25.4647497974928</v>
      </c>
      <c r="BF15" s="7">
        <v>0.13466339724901299</v>
      </c>
      <c r="BG15" s="6">
        <v>6001.04</v>
      </c>
      <c r="BH15" s="6">
        <v>0.42306126261041099</v>
      </c>
      <c r="BI15" s="6">
        <v>0.72923354595788503</v>
      </c>
      <c r="BJ15" s="7"/>
      <c r="BK15" s="7"/>
      <c r="BL15" s="6"/>
      <c r="BM15" s="6"/>
      <c r="BN15" s="7"/>
      <c r="BO15" s="7"/>
      <c r="BP15" s="6"/>
      <c r="BQ15" s="6"/>
      <c r="BR15" s="7"/>
      <c r="BS15" s="7"/>
      <c r="BT15" s="6"/>
      <c r="BU15" s="6"/>
    </row>
    <row r="16" spans="1:73">
      <c r="A16" s="3"/>
      <c r="B16" s="3" t="b">
        <v>0</v>
      </c>
      <c r="C16" s="3" t="s">
        <v>101</v>
      </c>
      <c r="D16" s="4">
        <v>46244.5695949074</v>
      </c>
      <c r="E16" s="5" t="s">
        <v>26</v>
      </c>
      <c r="F16" s="6"/>
      <c r="G16" s="3" t="s">
        <v>93</v>
      </c>
      <c r="H16" s="7">
        <v>16327.8066666667</v>
      </c>
      <c r="I16" s="7">
        <v>2.4877309351028001</v>
      </c>
      <c r="J16" s="7">
        <v>49.413057917507203</v>
      </c>
      <c r="K16" s="6">
        <v>820.886666666667</v>
      </c>
      <c r="L16" s="6">
        <v>5.3663805682192898</v>
      </c>
      <c r="M16" s="6">
        <v>4.4985765929335502</v>
      </c>
      <c r="N16" s="7">
        <v>650.70000000000005</v>
      </c>
      <c r="O16" s="7">
        <v>15.0680421211816</v>
      </c>
      <c r="P16" s="7">
        <v>15.9343237231827</v>
      </c>
      <c r="Q16" s="6">
        <v>4375.2466666666696</v>
      </c>
      <c r="R16" s="6">
        <v>2.5800844454760599</v>
      </c>
      <c r="S16" s="6">
        <v>22.674432503871699</v>
      </c>
      <c r="T16" s="7">
        <v>31.7</v>
      </c>
      <c r="U16" s="7">
        <v>44.6105580300814</v>
      </c>
      <c r="V16" s="7">
        <v>12.4892729041643</v>
      </c>
      <c r="W16" s="6">
        <v>1311.44</v>
      </c>
      <c r="X16" s="6">
        <v>28.648703984930599</v>
      </c>
      <c r="Y16" s="6">
        <v>25.481607254164501</v>
      </c>
      <c r="Z16" s="7">
        <v>283.636666666667</v>
      </c>
      <c r="AA16" s="7">
        <v>10.731479178002299</v>
      </c>
      <c r="AB16" s="7">
        <v>0.103438003091744</v>
      </c>
      <c r="AC16" s="6">
        <v>125.133333333333</v>
      </c>
      <c r="AD16" s="6">
        <v>51.108093191322901</v>
      </c>
      <c r="AE16" s="6">
        <v>0.112203173956922</v>
      </c>
      <c r="AF16" s="7">
        <v>42235.26</v>
      </c>
      <c r="AG16" s="7">
        <v>1.53256281893584</v>
      </c>
      <c r="AH16" s="7">
        <v>7.3402346151189999</v>
      </c>
      <c r="AI16" s="6">
        <v>35.036666666666697</v>
      </c>
      <c r="AJ16" s="6" t="s">
        <v>34</v>
      </c>
      <c r="AK16" s="6" t="s">
        <v>30</v>
      </c>
      <c r="AL16" s="7">
        <v>191.87</v>
      </c>
      <c r="AM16" s="7">
        <v>6.2751082423269304</v>
      </c>
      <c r="AN16" s="7">
        <v>0.12294450924928201</v>
      </c>
      <c r="AO16" s="6">
        <v>32971.823333333297</v>
      </c>
      <c r="AP16" s="6">
        <v>0.78503505475314095</v>
      </c>
      <c r="AQ16" s="6">
        <v>11.7338898150405</v>
      </c>
      <c r="AR16" s="7">
        <v>11005.7066666667</v>
      </c>
      <c r="AS16" s="7">
        <v>5.5818198218563904</v>
      </c>
      <c r="AT16" s="7">
        <v>12.542921523463299</v>
      </c>
      <c r="AU16" s="6">
        <v>1.67</v>
      </c>
      <c r="AV16" s="6">
        <v>173.20508075688801</v>
      </c>
      <c r="AW16" s="6">
        <v>3.9843100899233999E-3</v>
      </c>
      <c r="AX16" s="7">
        <v>20410.6933333333</v>
      </c>
      <c r="AY16" s="7">
        <v>0.98220322217107903</v>
      </c>
      <c r="AZ16" s="7">
        <v>7.7296724649751596</v>
      </c>
      <c r="BA16" s="6">
        <v>3.34</v>
      </c>
      <c r="BB16" s="6">
        <v>173.20508075688801</v>
      </c>
      <c r="BC16" s="6">
        <v>2.7337433233265698E-3</v>
      </c>
      <c r="BD16" s="7">
        <v>25.026666666666699</v>
      </c>
      <c r="BE16" s="7">
        <v>27.2702551716351</v>
      </c>
      <c r="BF16" s="7">
        <v>4.3568966109593897E-2</v>
      </c>
      <c r="BG16" s="6">
        <v>10707.31</v>
      </c>
      <c r="BH16" s="6">
        <v>1.77377047670446</v>
      </c>
      <c r="BI16" s="6">
        <v>1.3427496017948699</v>
      </c>
      <c r="BJ16" s="7"/>
      <c r="BK16" s="7"/>
      <c r="BL16" s="6"/>
      <c r="BM16" s="6"/>
      <c r="BN16" s="7"/>
      <c r="BO16" s="7"/>
      <c r="BP16" s="6"/>
      <c r="BQ16" s="6"/>
      <c r="BR16" s="7"/>
      <c r="BS16" s="7"/>
      <c r="BT16" s="6"/>
      <c r="BU16" s="6"/>
    </row>
    <row r="17" spans="1:73">
      <c r="A17" s="3"/>
      <c r="B17" s="3" t="b">
        <v>0</v>
      </c>
      <c r="C17" s="3" t="s">
        <v>74</v>
      </c>
      <c r="D17" s="4">
        <v>46244.572673611103</v>
      </c>
      <c r="E17" s="5" t="s">
        <v>26</v>
      </c>
      <c r="F17" s="6"/>
      <c r="G17" s="3" t="s">
        <v>33</v>
      </c>
      <c r="H17" s="7">
        <v>24343.686666666701</v>
      </c>
      <c r="I17" s="7">
        <v>0.60496731149584904</v>
      </c>
      <c r="J17" s="7">
        <v>78.153518089470097</v>
      </c>
      <c r="K17" s="6">
        <v>1426.58</v>
      </c>
      <c r="L17" s="6">
        <v>3.9115358262726598</v>
      </c>
      <c r="M17" s="6">
        <v>9.3017458237633601</v>
      </c>
      <c r="N17" s="7">
        <v>620.66666666666697</v>
      </c>
      <c r="O17" s="7">
        <v>16.100596124341301</v>
      </c>
      <c r="P17" s="7">
        <v>15.1653453796054</v>
      </c>
      <c r="Q17" s="6">
        <v>5004.45</v>
      </c>
      <c r="R17" s="6">
        <v>5.6493498782562899</v>
      </c>
      <c r="S17" s="6">
        <v>31.275124879611798</v>
      </c>
      <c r="T17" s="7">
        <v>53.39</v>
      </c>
      <c r="U17" s="7">
        <v>32.067419864861101</v>
      </c>
      <c r="V17" s="7">
        <v>24.087346086324501</v>
      </c>
      <c r="W17" s="6">
        <v>1867.08666666667</v>
      </c>
      <c r="X17" s="6">
        <v>23.902049320870098</v>
      </c>
      <c r="Y17" s="6">
        <v>58.372009822019898</v>
      </c>
      <c r="Z17" s="7">
        <v>250.26666666666699</v>
      </c>
      <c r="AA17" s="7">
        <v>20.144588978798001</v>
      </c>
      <c r="AB17" s="7">
        <v>8.5129696002785998E-2</v>
      </c>
      <c r="AC17" s="6">
        <v>111.786666666667</v>
      </c>
      <c r="AD17" s="6">
        <v>13.008330211951201</v>
      </c>
      <c r="AE17" s="6">
        <v>9.6175292810881802E-2</v>
      </c>
      <c r="AF17" s="7">
        <v>42521.32</v>
      </c>
      <c r="AG17" s="7">
        <v>0.39894322763315998</v>
      </c>
      <c r="AH17" s="7">
        <v>7.3931596508309099</v>
      </c>
      <c r="AI17" s="6">
        <v>33.366666666666703</v>
      </c>
      <c r="AJ17" s="6" t="s">
        <v>34</v>
      </c>
      <c r="AK17" s="6" t="s">
        <v>30</v>
      </c>
      <c r="AL17" s="7">
        <v>88.426666666666705</v>
      </c>
      <c r="AM17" s="7">
        <v>150.190284412816</v>
      </c>
      <c r="AN17" s="7">
        <v>1.85291574284564E-2</v>
      </c>
      <c r="AO17" s="6">
        <v>48606.846666666701</v>
      </c>
      <c r="AP17" s="6">
        <v>0.42911503452317801</v>
      </c>
      <c r="AQ17" s="6">
        <v>17.344012755713301</v>
      </c>
      <c r="AR17" s="7">
        <v>10636.74</v>
      </c>
      <c r="AS17" s="7">
        <v>8.1203761299073101</v>
      </c>
      <c r="AT17" s="7">
        <v>11.5591688975748</v>
      </c>
      <c r="AU17" s="6">
        <v>3.34</v>
      </c>
      <c r="AV17" s="6">
        <v>86.602540378443805</v>
      </c>
      <c r="AW17" s="6">
        <v>7.9686201798467894E-3</v>
      </c>
      <c r="AX17" s="7">
        <v>20085.363333333298</v>
      </c>
      <c r="AY17" s="7">
        <v>1.92731605425708</v>
      </c>
      <c r="AZ17" s="7">
        <v>7.60614507926676</v>
      </c>
      <c r="BA17" s="6">
        <v>0</v>
      </c>
      <c r="BB17" s="6">
        <v>0</v>
      </c>
      <c r="BC17" s="6" t="s">
        <v>30</v>
      </c>
      <c r="BD17" s="7">
        <v>41.713333333333303</v>
      </c>
      <c r="BE17" s="7">
        <v>16.4933681352402</v>
      </c>
      <c r="BF17" s="7">
        <v>8.3181433298955804E-2</v>
      </c>
      <c r="BG17" s="6">
        <v>10536.99</v>
      </c>
      <c r="BH17" s="6">
        <v>2.7409813224096902</v>
      </c>
      <c r="BI17" s="6">
        <v>1.3205464441710699</v>
      </c>
      <c r="BJ17" s="7"/>
      <c r="BK17" s="7"/>
      <c r="BL17" s="6"/>
      <c r="BM17" s="6"/>
      <c r="BN17" s="7"/>
      <c r="BO17" s="7"/>
      <c r="BP17" s="6"/>
      <c r="BQ17" s="6"/>
      <c r="BR17" s="7"/>
      <c r="BS17" s="7"/>
      <c r="BT17" s="6"/>
      <c r="BU17" s="6"/>
    </row>
    <row r="18" spans="1:73">
      <c r="A18" s="3"/>
      <c r="B18" s="3" t="b">
        <v>0</v>
      </c>
      <c r="C18" s="3" t="s">
        <v>115</v>
      </c>
      <c r="D18" s="4">
        <v>46244.575682870403</v>
      </c>
      <c r="E18" s="5" t="s">
        <v>26</v>
      </c>
      <c r="F18" s="6"/>
      <c r="G18" s="3" t="s">
        <v>89</v>
      </c>
      <c r="H18" s="7">
        <v>29729.119999999999</v>
      </c>
      <c r="I18" s="7">
        <v>1.73596134415299</v>
      </c>
      <c r="J18" s="7">
        <v>97.462668454174604</v>
      </c>
      <c r="K18" s="6">
        <v>1638.4733333333299</v>
      </c>
      <c r="L18" s="6">
        <v>7.4280379987721403</v>
      </c>
      <c r="M18" s="6">
        <v>10.982067337760499</v>
      </c>
      <c r="N18" s="7">
        <v>647.363333333333</v>
      </c>
      <c r="O18" s="7">
        <v>9.3365223204027092</v>
      </c>
      <c r="P18" s="7">
        <v>15.848891168030599</v>
      </c>
      <c r="Q18" s="6">
        <v>5032.82</v>
      </c>
      <c r="R18" s="6">
        <v>6.8778655160672804</v>
      </c>
      <c r="S18" s="6">
        <v>31.6629194601127</v>
      </c>
      <c r="T18" s="7">
        <v>66.736666666666693</v>
      </c>
      <c r="U18" s="7">
        <v>13.0964371449223</v>
      </c>
      <c r="V18" s="7">
        <v>31.224073460132701</v>
      </c>
      <c r="W18" s="6">
        <v>1972.2166666666701</v>
      </c>
      <c r="X18" s="6">
        <v>13.9957556943125</v>
      </c>
      <c r="Y18" s="6">
        <v>64.594971695798193</v>
      </c>
      <c r="Z18" s="7">
        <v>266.95333333333298</v>
      </c>
      <c r="AA18" s="7">
        <v>35.233262692845798</v>
      </c>
      <c r="AB18" s="7">
        <v>9.4284763956768797E-2</v>
      </c>
      <c r="AC18" s="6">
        <v>180.19</v>
      </c>
      <c r="AD18" s="6">
        <v>11.676091712414699</v>
      </c>
      <c r="AE18" s="6">
        <v>0.178320185167999</v>
      </c>
      <c r="AF18" s="7">
        <v>54846.816666666702</v>
      </c>
      <c r="AG18" s="7">
        <v>0.80765026386001104</v>
      </c>
      <c r="AH18" s="7">
        <v>9.6735461125886602</v>
      </c>
      <c r="AI18" s="6">
        <v>573.95333333333303</v>
      </c>
      <c r="AJ18" s="6">
        <v>7.4482146580509099</v>
      </c>
      <c r="AK18" s="6">
        <v>0.146563753032388</v>
      </c>
      <c r="AL18" s="7">
        <v>125.13</v>
      </c>
      <c r="AM18" s="7">
        <v>65.549524641108903</v>
      </c>
      <c r="AN18" s="7">
        <v>5.55773783190927E-2</v>
      </c>
      <c r="AO18" s="6">
        <v>47393.279999999999</v>
      </c>
      <c r="AP18" s="6">
        <v>0.33474018533409</v>
      </c>
      <c r="AQ18" s="6">
        <v>16.908563568874701</v>
      </c>
      <c r="AR18" s="7">
        <v>11224.4533333333</v>
      </c>
      <c r="AS18" s="7">
        <v>2.0741633413773899</v>
      </c>
      <c r="AT18" s="7">
        <v>13.126152007890999</v>
      </c>
      <c r="AU18" s="6">
        <v>5.0066666666666704</v>
      </c>
      <c r="AV18" s="6">
        <v>173.20508075688801</v>
      </c>
      <c r="AW18" s="6">
        <v>1.19449775550198E-2</v>
      </c>
      <c r="AX18" s="7">
        <v>19007.756666666701</v>
      </c>
      <c r="AY18" s="7">
        <v>2.4639360992797199</v>
      </c>
      <c r="AZ18" s="7">
        <v>7.1969792035243696</v>
      </c>
      <c r="BA18" s="6">
        <v>3.34</v>
      </c>
      <c r="BB18" s="6">
        <v>173.20508075688801</v>
      </c>
      <c r="BC18" s="6">
        <v>2.7337433233265698E-3</v>
      </c>
      <c r="BD18" s="7">
        <v>63.4</v>
      </c>
      <c r="BE18" s="7">
        <v>44.417521094529803</v>
      </c>
      <c r="BF18" s="7">
        <v>0.13466339724901299</v>
      </c>
      <c r="BG18" s="6">
        <v>10129.5433333333</v>
      </c>
      <c r="BH18" s="6">
        <v>2.1444003376466898</v>
      </c>
      <c r="BI18" s="6">
        <v>1.2674311167679999</v>
      </c>
      <c r="BJ18" s="7"/>
      <c r="BK18" s="7"/>
      <c r="BL18" s="6"/>
      <c r="BM18" s="6"/>
      <c r="BN18" s="7"/>
      <c r="BO18" s="7"/>
      <c r="BP18" s="6"/>
      <c r="BQ18" s="6"/>
      <c r="BR18" s="7"/>
      <c r="BS18" s="7"/>
      <c r="BT18" s="6"/>
      <c r="BU18" s="6"/>
    </row>
    <row r="19" spans="1:73">
      <c r="A19" s="3"/>
      <c r="B19" s="3" t="b">
        <v>0</v>
      </c>
      <c r="C19" s="3" t="s">
        <v>7</v>
      </c>
      <c r="D19" s="4">
        <v>46244.578750000001</v>
      </c>
      <c r="E19" s="5" t="s">
        <v>26</v>
      </c>
      <c r="F19" s="6"/>
      <c r="G19" s="3" t="s">
        <v>113</v>
      </c>
      <c r="H19" s="7">
        <v>22333.453333333298</v>
      </c>
      <c r="I19" s="7">
        <v>2.2850662724299799</v>
      </c>
      <c r="J19" s="7">
        <v>70.945946237968002</v>
      </c>
      <c r="K19" s="6">
        <v>1383.1866666666699</v>
      </c>
      <c r="L19" s="6">
        <v>3.0159870213261302</v>
      </c>
      <c r="M19" s="6">
        <v>8.9576351789544209</v>
      </c>
      <c r="N19" s="7">
        <v>520.55666666666696</v>
      </c>
      <c r="O19" s="7">
        <v>13.337234539475601</v>
      </c>
      <c r="P19" s="7">
        <v>12.6021126834172</v>
      </c>
      <c r="Q19" s="6">
        <v>5064.4833333333299</v>
      </c>
      <c r="R19" s="6">
        <v>6.5154402542164904</v>
      </c>
      <c r="S19" s="6">
        <v>32.095731200234603</v>
      </c>
      <c r="T19" s="7">
        <v>61.733333333333299</v>
      </c>
      <c r="U19" s="7">
        <v>28.639309924772402</v>
      </c>
      <c r="V19" s="7">
        <v>28.548691894676601</v>
      </c>
      <c r="W19" s="6">
        <v>1785.3233333333301</v>
      </c>
      <c r="X19" s="6">
        <v>13.3352512588846</v>
      </c>
      <c r="Y19" s="6">
        <v>53.532191444712304</v>
      </c>
      <c r="Z19" s="7">
        <v>238.58666666666701</v>
      </c>
      <c r="AA19" s="7">
        <v>29.6701571248379</v>
      </c>
      <c r="AB19" s="7">
        <v>7.8721514198799594E-2</v>
      </c>
      <c r="AC19" s="6">
        <v>111.786666666667</v>
      </c>
      <c r="AD19" s="6">
        <v>50.517548184167303</v>
      </c>
      <c r="AE19" s="6">
        <v>9.6175292810881802E-2</v>
      </c>
      <c r="AF19" s="7">
        <v>9816.9866666666694</v>
      </c>
      <c r="AG19" s="7">
        <v>3.11904569301214</v>
      </c>
      <c r="AH19" s="7">
        <v>1.3424080266925</v>
      </c>
      <c r="AI19" s="6">
        <v>23.356666666666701</v>
      </c>
      <c r="AJ19" s="6" t="s">
        <v>34</v>
      </c>
      <c r="AK19" s="6" t="s">
        <v>30</v>
      </c>
      <c r="AL19" s="7">
        <v>115.12</v>
      </c>
      <c r="AM19" s="7">
        <v>44.4395116537181</v>
      </c>
      <c r="AN19" s="7">
        <v>4.5473318076191899E-2</v>
      </c>
      <c r="AO19" s="6">
        <v>195167.42333333299</v>
      </c>
      <c r="AP19" s="6">
        <v>0.65885809431620102</v>
      </c>
      <c r="AQ19" s="6">
        <v>69.932540180738101</v>
      </c>
      <c r="AR19" s="7">
        <v>10583.32</v>
      </c>
      <c r="AS19" s="7">
        <v>3.4243581098031601</v>
      </c>
      <c r="AT19" s="7">
        <v>11.4167385101641</v>
      </c>
      <c r="AU19" s="6">
        <v>3.34</v>
      </c>
      <c r="AV19" s="6">
        <v>86.602540378443805</v>
      </c>
      <c r="AW19" s="6">
        <v>7.9686201798467894E-3</v>
      </c>
      <c r="AX19" s="7">
        <v>9810.7133333333295</v>
      </c>
      <c r="AY19" s="7">
        <v>2.14585837566006</v>
      </c>
      <c r="AZ19" s="7">
        <v>3.7048735901056502</v>
      </c>
      <c r="BA19" s="6">
        <v>1.67</v>
      </c>
      <c r="BB19" s="6" t="s">
        <v>34</v>
      </c>
      <c r="BC19" s="6">
        <v>0</v>
      </c>
      <c r="BD19" s="7">
        <v>96.77</v>
      </c>
      <c r="BE19" s="7">
        <v>40.188694781610899</v>
      </c>
      <c r="BF19" s="7">
        <v>0.21388041862989701</v>
      </c>
      <c r="BG19" s="6">
        <v>2279.2833333333301</v>
      </c>
      <c r="BH19" s="6">
        <v>6.1579427332236003</v>
      </c>
      <c r="BI19" s="6">
        <v>0.244060049554506</v>
      </c>
      <c r="BJ19" s="7"/>
      <c r="BK19" s="7"/>
      <c r="BL19" s="6"/>
      <c r="BM19" s="6"/>
      <c r="BN19" s="7"/>
      <c r="BO19" s="7"/>
      <c r="BP19" s="6"/>
      <c r="BQ19" s="6"/>
      <c r="BR19" s="7"/>
      <c r="BS19" s="7"/>
      <c r="BT19" s="6"/>
      <c r="BU19" s="6"/>
    </row>
    <row r="20" spans="1:73">
      <c r="A20" s="3"/>
      <c r="B20" s="3" t="b">
        <v>0</v>
      </c>
      <c r="C20" s="3" t="s">
        <v>62</v>
      </c>
      <c r="D20" s="4">
        <v>46244.581770833298</v>
      </c>
      <c r="E20" s="5" t="s">
        <v>26</v>
      </c>
      <c r="F20" s="6"/>
      <c r="G20" s="3" t="s">
        <v>32</v>
      </c>
      <c r="H20" s="7">
        <v>24460.706666666701</v>
      </c>
      <c r="I20" s="7">
        <v>1.27171581167002</v>
      </c>
      <c r="J20" s="7">
        <v>78.573086327682603</v>
      </c>
      <c r="K20" s="6">
        <v>1401.5433333333301</v>
      </c>
      <c r="L20" s="6">
        <v>5.8986887883069796</v>
      </c>
      <c r="M20" s="6">
        <v>9.1032041850200809</v>
      </c>
      <c r="N20" s="7">
        <v>477.18</v>
      </c>
      <c r="O20" s="7">
        <v>8.6625978173236895</v>
      </c>
      <c r="P20" s="7">
        <v>11.491489466439299</v>
      </c>
      <c r="Q20" s="6">
        <v>5303.21</v>
      </c>
      <c r="R20" s="6">
        <v>9.2368358860959994</v>
      </c>
      <c r="S20" s="6">
        <v>35.358928505640698</v>
      </c>
      <c r="T20" s="7">
        <v>60.063333333333297</v>
      </c>
      <c r="U20" s="7">
        <v>58.866725727929598</v>
      </c>
      <c r="V20" s="7">
        <v>27.655709773228601</v>
      </c>
      <c r="W20" s="6">
        <v>1776.98</v>
      </c>
      <c r="X20" s="6">
        <v>3.6631892054144299</v>
      </c>
      <c r="Y20" s="6">
        <v>53.038324373148001</v>
      </c>
      <c r="Z20" s="7">
        <v>288.64</v>
      </c>
      <c r="AA20" s="7">
        <v>31.287208080723602</v>
      </c>
      <c r="AB20" s="7">
        <v>0.106183060422732</v>
      </c>
      <c r="AC20" s="6">
        <v>123.463333333333</v>
      </c>
      <c r="AD20" s="6">
        <v>36.317538486632998</v>
      </c>
      <c r="AE20" s="6">
        <v>0.110197687330008</v>
      </c>
      <c r="AF20" s="7">
        <v>12914.243333333299</v>
      </c>
      <c r="AG20" s="7">
        <v>2.1855086913811799</v>
      </c>
      <c r="AH20" s="7">
        <v>1.91544312314883</v>
      </c>
      <c r="AI20" s="6">
        <v>43.38</v>
      </c>
      <c r="AJ20" s="6" t="s">
        <v>34</v>
      </c>
      <c r="AK20" s="6" t="s">
        <v>30</v>
      </c>
      <c r="AL20" s="7">
        <v>111.786666666667</v>
      </c>
      <c r="AM20" s="7">
        <v>38.569383612063298</v>
      </c>
      <c r="AN20" s="7">
        <v>4.2108662650650497E-2</v>
      </c>
      <c r="AO20" s="6">
        <v>1042523.07</v>
      </c>
      <c r="AP20" s="6">
        <v>0.96800101805127203</v>
      </c>
      <c r="AQ20" s="6">
        <v>373.97873511915202</v>
      </c>
      <c r="AR20" s="7">
        <v>9955.5566666666691</v>
      </c>
      <c r="AS20" s="7">
        <v>5.4541047427307996</v>
      </c>
      <c r="AT20" s="7">
        <v>9.7429726028468693</v>
      </c>
      <c r="AU20" s="6">
        <v>3.33666666666667</v>
      </c>
      <c r="AV20" s="6">
        <v>173.20508075688801</v>
      </c>
      <c r="AW20" s="6">
        <v>7.9606674650964399E-3</v>
      </c>
      <c r="AX20" s="7">
        <v>35625.706666666701</v>
      </c>
      <c r="AY20" s="7">
        <v>1.19901535120405</v>
      </c>
      <c r="AZ20" s="7">
        <v>13.506793605309801</v>
      </c>
      <c r="BA20" s="6">
        <v>3.34</v>
      </c>
      <c r="BB20" s="6">
        <v>173.20508075688801</v>
      </c>
      <c r="BC20" s="6">
        <v>2.7337433233265698E-3</v>
      </c>
      <c r="BD20" s="7">
        <v>96.766666666666694</v>
      </c>
      <c r="BE20" s="7">
        <v>16.0401182897177</v>
      </c>
      <c r="BF20" s="7">
        <v>0.21387250563205601</v>
      </c>
      <c r="BG20" s="6">
        <v>1978.91</v>
      </c>
      <c r="BH20" s="6">
        <v>9.33045585042934</v>
      </c>
      <c r="BI20" s="6">
        <v>0.20490295428685801</v>
      </c>
      <c r="BJ20" s="7"/>
      <c r="BK20" s="7"/>
      <c r="BL20" s="6"/>
      <c r="BM20" s="6"/>
      <c r="BN20" s="7"/>
      <c r="BO20" s="7"/>
      <c r="BP20" s="6"/>
      <c r="BQ20" s="6"/>
      <c r="BR20" s="7"/>
      <c r="BS20" s="7"/>
      <c r="BT20" s="6"/>
      <c r="BU20" s="6"/>
    </row>
    <row r="21" spans="1:73">
      <c r="A21" s="3"/>
      <c r="B21" s="3" t="b">
        <v>0</v>
      </c>
      <c r="C21" s="3" t="s">
        <v>61</v>
      </c>
      <c r="D21" s="4">
        <v>46244.584837962997</v>
      </c>
      <c r="E21" s="5" t="s">
        <v>26</v>
      </c>
      <c r="F21" s="6"/>
      <c r="G21" s="3" t="s">
        <v>78</v>
      </c>
      <c r="H21" s="7">
        <v>36661.573333333297</v>
      </c>
      <c r="I21" s="7">
        <v>0.68382525237491898</v>
      </c>
      <c r="J21" s="7">
        <v>122.31856686091901</v>
      </c>
      <c r="K21" s="6">
        <v>1960.53</v>
      </c>
      <c r="L21" s="6">
        <v>9.7725577271905806</v>
      </c>
      <c r="M21" s="6">
        <v>13.5359879222977</v>
      </c>
      <c r="N21" s="7">
        <v>659.04666666666697</v>
      </c>
      <c r="O21" s="7">
        <v>18.3466670159012</v>
      </c>
      <c r="P21" s="7">
        <v>16.148033131875</v>
      </c>
      <c r="Q21" s="6">
        <v>6104.36333333333</v>
      </c>
      <c r="R21" s="6">
        <v>6.63090577306125</v>
      </c>
      <c r="S21" s="6">
        <v>46.310036042365098</v>
      </c>
      <c r="T21" s="7">
        <v>105.113333333333</v>
      </c>
      <c r="U21" s="7">
        <v>36.211045586540898</v>
      </c>
      <c r="V21" s="7">
        <v>51.744838258997099</v>
      </c>
      <c r="W21" s="6">
        <v>1977.2166666666701</v>
      </c>
      <c r="X21" s="6">
        <v>1.36920114219925</v>
      </c>
      <c r="Y21" s="6">
        <v>64.890936780635002</v>
      </c>
      <c r="Z21" s="7">
        <v>220.23333333333301</v>
      </c>
      <c r="AA21" s="7">
        <v>40.594337910624503</v>
      </c>
      <c r="AB21" s="7">
        <v>6.8652036740823305E-2</v>
      </c>
      <c r="AC21" s="6">
        <v>156.833333333333</v>
      </c>
      <c r="AD21" s="6">
        <v>27.228559130728499</v>
      </c>
      <c r="AE21" s="6">
        <v>0.15027139316242799</v>
      </c>
      <c r="AF21" s="7">
        <v>49011.646666666697</v>
      </c>
      <c r="AG21" s="7">
        <v>1.1518289203761101</v>
      </c>
      <c r="AH21" s="7">
        <v>8.5939593803118903</v>
      </c>
      <c r="AI21" s="6">
        <v>31.703333333333301</v>
      </c>
      <c r="AJ21" s="6" t="s">
        <v>34</v>
      </c>
      <c r="AK21" s="6" t="s">
        <v>30</v>
      </c>
      <c r="AL21" s="7">
        <v>155.166666666667</v>
      </c>
      <c r="AM21" s="7">
        <v>20.3810592891884</v>
      </c>
      <c r="AN21" s="7">
        <v>8.58962883586461E-2</v>
      </c>
      <c r="AO21" s="6">
        <v>969453.00333333295</v>
      </c>
      <c r="AP21" s="6">
        <v>0.16434853332582899</v>
      </c>
      <c r="AQ21" s="6">
        <v>347.75990265925998</v>
      </c>
      <c r="AR21" s="7">
        <v>9670.0866666666698</v>
      </c>
      <c r="AS21" s="7">
        <v>10.3131149855994</v>
      </c>
      <c r="AT21" s="7">
        <v>8.9818418897407692</v>
      </c>
      <c r="AU21" s="6">
        <v>5.0066666666666704</v>
      </c>
      <c r="AV21" s="6">
        <v>99.966727679775502</v>
      </c>
      <c r="AW21" s="6">
        <v>1.19449775550198E-2</v>
      </c>
      <c r="AX21" s="7">
        <v>2697.4</v>
      </c>
      <c r="AY21" s="7">
        <v>7.2885432459487998</v>
      </c>
      <c r="AZ21" s="7">
        <v>1.00395759775525</v>
      </c>
      <c r="BA21" s="6">
        <v>3.34</v>
      </c>
      <c r="BB21" s="6">
        <v>173.20508075688801</v>
      </c>
      <c r="BC21" s="6">
        <v>2.7337433233265698E-3</v>
      </c>
      <c r="BD21" s="7">
        <v>146.82</v>
      </c>
      <c r="BE21" s="7">
        <v>10.307275997853001</v>
      </c>
      <c r="BF21" s="7">
        <v>0.33269408120446098</v>
      </c>
      <c r="BG21" s="6">
        <v>2124.07666666667</v>
      </c>
      <c r="BH21" s="6">
        <v>7.5714650302945801</v>
      </c>
      <c r="BI21" s="6">
        <v>0.22382708757549899</v>
      </c>
      <c r="BJ21" s="7"/>
      <c r="BK21" s="7"/>
      <c r="BL21" s="6"/>
      <c r="BM21" s="6"/>
      <c r="BN21" s="7"/>
      <c r="BO21" s="7"/>
      <c r="BP21" s="6"/>
      <c r="BQ21" s="6"/>
      <c r="BR21" s="7"/>
      <c r="BS21" s="7"/>
      <c r="BT21" s="6"/>
      <c r="BU21" s="6"/>
    </row>
    <row r="22" spans="1:73">
      <c r="A22" s="3"/>
      <c r="B22" s="3" t="b">
        <v>0</v>
      </c>
      <c r="C22" s="3" t="s">
        <v>25</v>
      </c>
      <c r="D22" s="4">
        <v>46244.587847222203</v>
      </c>
      <c r="E22" s="5" t="s">
        <v>26</v>
      </c>
      <c r="F22" s="6"/>
      <c r="G22" s="3" t="s">
        <v>88</v>
      </c>
      <c r="H22" s="7">
        <v>28794.61</v>
      </c>
      <c r="I22" s="7">
        <v>0.306066016332253</v>
      </c>
      <c r="J22" s="7">
        <v>94.112038525171101</v>
      </c>
      <c r="K22" s="6">
        <v>1505.0033333333299</v>
      </c>
      <c r="L22" s="6">
        <v>9.5205090068170701</v>
      </c>
      <c r="M22" s="6">
        <v>9.9236455887364592</v>
      </c>
      <c r="N22" s="7">
        <v>625.66999999999996</v>
      </c>
      <c r="O22" s="7">
        <v>7.1597901065651799</v>
      </c>
      <c r="P22" s="7">
        <v>15.2934515387297</v>
      </c>
      <c r="Q22" s="6">
        <v>5405.0066666666698</v>
      </c>
      <c r="R22" s="6">
        <v>8.9940677926227703</v>
      </c>
      <c r="S22" s="6">
        <v>36.750405264413601</v>
      </c>
      <c r="T22" s="7">
        <v>86.763333333333307</v>
      </c>
      <c r="U22" s="7">
        <v>14.7392914934663</v>
      </c>
      <c r="V22" s="7">
        <v>41.9327293197329</v>
      </c>
      <c r="W22" s="6">
        <v>1940.51</v>
      </c>
      <c r="X22" s="6">
        <v>10.4188964629348</v>
      </c>
      <c r="Y22" s="6">
        <v>62.718158437819902</v>
      </c>
      <c r="Z22" s="7">
        <v>857.59333333333302</v>
      </c>
      <c r="AA22" s="7">
        <v>0.75794780188446498</v>
      </c>
      <c r="AB22" s="7">
        <v>0.418336861619998</v>
      </c>
      <c r="AC22" s="6">
        <v>403.76666666666699</v>
      </c>
      <c r="AD22" s="6">
        <v>13.7413096608537</v>
      </c>
      <c r="AE22" s="6">
        <v>0.446811212168094</v>
      </c>
      <c r="AF22" s="7">
        <v>1453298.5866666699</v>
      </c>
      <c r="AG22" s="7">
        <v>0.37527717891555301</v>
      </c>
      <c r="AH22" s="7">
        <v>268.406363943256</v>
      </c>
      <c r="AI22" s="6">
        <v>131.803333333333</v>
      </c>
      <c r="AJ22" s="6">
        <v>37.747286697497699</v>
      </c>
      <c r="AK22" s="6">
        <v>1.9220736113223901E-2</v>
      </c>
      <c r="AL22" s="7">
        <v>425.45666666666699</v>
      </c>
      <c r="AM22" s="7">
        <v>9.8590803852942503</v>
      </c>
      <c r="AN22" s="7">
        <v>0.358726102849521</v>
      </c>
      <c r="AO22" s="6">
        <v>26194.42</v>
      </c>
      <c r="AP22" s="6">
        <v>1.7600742850870501</v>
      </c>
      <c r="AQ22" s="6">
        <v>9.3020376132299205</v>
      </c>
      <c r="AR22" s="7">
        <v>11910.7733333333</v>
      </c>
      <c r="AS22" s="7">
        <v>8.0192760841496895</v>
      </c>
      <c r="AT22" s="7">
        <v>14.956043874003001</v>
      </c>
      <c r="AU22" s="6">
        <v>5.0066666666666704</v>
      </c>
      <c r="AV22" s="6">
        <v>99.966727679775502</v>
      </c>
      <c r="AW22" s="6">
        <v>1.19449775550198E-2</v>
      </c>
      <c r="AX22" s="7">
        <v>376.50333333333299</v>
      </c>
      <c r="AY22" s="7">
        <v>15.488708144789801</v>
      </c>
      <c r="AZ22" s="7">
        <v>0.122716096102571</v>
      </c>
      <c r="BA22" s="6">
        <v>11.68</v>
      </c>
      <c r="BB22" s="6">
        <v>28.8963521342659</v>
      </c>
      <c r="BC22" s="6">
        <v>1.63860902194604E-2</v>
      </c>
      <c r="BD22" s="7">
        <v>136.81333333333299</v>
      </c>
      <c r="BE22" s="7">
        <v>35.737795602220302</v>
      </c>
      <c r="BF22" s="7">
        <v>0.308939261687389</v>
      </c>
      <c r="BG22" s="6">
        <v>4238.4833333333299</v>
      </c>
      <c r="BH22" s="6">
        <v>5.9305735820487904</v>
      </c>
      <c r="BI22" s="6">
        <v>0.49946415016832901</v>
      </c>
      <c r="BJ22" s="7"/>
      <c r="BK22" s="7"/>
      <c r="BL22" s="6"/>
      <c r="BM22" s="6"/>
      <c r="BN22" s="7"/>
      <c r="BO22" s="7"/>
      <c r="BP22" s="6"/>
      <c r="BQ22" s="6"/>
      <c r="BR22" s="7"/>
      <c r="BS22" s="7"/>
      <c r="BT22" s="6"/>
      <c r="BU22" s="6"/>
    </row>
    <row r="23" spans="1:73">
      <c r="A23" s="3"/>
      <c r="B23" s="3" t="b">
        <v>0</v>
      </c>
      <c r="C23" s="3" t="s">
        <v>56</v>
      </c>
      <c r="D23" s="4">
        <v>46244.590914351902</v>
      </c>
      <c r="E23" s="5" t="s">
        <v>26</v>
      </c>
      <c r="F23" s="6"/>
      <c r="G23" s="3" t="s">
        <v>6</v>
      </c>
      <c r="H23" s="7">
        <v>14622.483333333301</v>
      </c>
      <c r="I23" s="7">
        <v>3.38384302938569</v>
      </c>
      <c r="J23" s="7">
        <v>43.298722705155498</v>
      </c>
      <c r="K23" s="6">
        <v>717.44</v>
      </c>
      <c r="L23" s="6">
        <v>23.749304524197498</v>
      </c>
      <c r="M23" s="6">
        <v>3.67824092301493</v>
      </c>
      <c r="N23" s="7">
        <v>442.136666666667</v>
      </c>
      <c r="O23" s="7">
        <v>5.0373592058804197</v>
      </c>
      <c r="P23" s="7">
        <v>10.5942342693219</v>
      </c>
      <c r="Q23" s="6">
        <v>4518.79</v>
      </c>
      <c r="R23" s="6">
        <v>2.08636681443146</v>
      </c>
      <c r="S23" s="6">
        <v>24.636551881160901</v>
      </c>
      <c r="T23" s="7">
        <v>28.363333333333301</v>
      </c>
      <c r="U23" s="7">
        <v>62.902055130064099</v>
      </c>
      <c r="V23" s="7">
        <v>10.705091060712199</v>
      </c>
      <c r="W23" s="6">
        <v>1359.83</v>
      </c>
      <c r="X23" s="6">
        <v>14.8670326218335</v>
      </c>
      <c r="Y23" s="6">
        <v>28.345957345214899</v>
      </c>
      <c r="Z23" s="7">
        <v>557.26333333333298</v>
      </c>
      <c r="AA23" s="7">
        <v>2.5009850244888598</v>
      </c>
      <c r="AB23" s="7">
        <v>0.253562097819379</v>
      </c>
      <c r="AC23" s="6">
        <v>215.226666666667</v>
      </c>
      <c r="AD23" s="6">
        <v>29.499868815427199</v>
      </c>
      <c r="AE23" s="6">
        <v>0.22039537466001499</v>
      </c>
      <c r="AF23" s="7">
        <v>20694.726666666698</v>
      </c>
      <c r="AG23" s="7">
        <v>1.47621712827208</v>
      </c>
      <c r="AH23" s="7">
        <v>3.35493958638251</v>
      </c>
      <c r="AI23" s="6">
        <v>110.116666666667</v>
      </c>
      <c r="AJ23" s="6">
        <v>19.2492808950682</v>
      </c>
      <c r="AK23" s="6">
        <v>1.2974788900165899E-2</v>
      </c>
      <c r="AL23" s="7">
        <v>704.09</v>
      </c>
      <c r="AM23" s="7">
        <v>10.6606218921576</v>
      </c>
      <c r="AN23" s="7">
        <v>0.63997764987052497</v>
      </c>
      <c r="AO23" s="6">
        <v>7369.6166666666704</v>
      </c>
      <c r="AP23" s="6">
        <v>4.7067193629228399</v>
      </c>
      <c r="AQ23" s="6">
        <v>2.5473651843866798</v>
      </c>
      <c r="AR23" s="7">
        <v>8868.7033333333293</v>
      </c>
      <c r="AS23" s="7">
        <v>10.996072086133401</v>
      </c>
      <c r="AT23" s="7">
        <v>6.8451638921531197</v>
      </c>
      <c r="AU23" s="6">
        <v>0</v>
      </c>
      <c r="AV23" s="6" t="s">
        <v>34</v>
      </c>
      <c r="AW23" s="6">
        <v>0</v>
      </c>
      <c r="AX23" s="7">
        <v>634.73</v>
      </c>
      <c r="AY23" s="7">
        <v>3.7469159042924001</v>
      </c>
      <c r="AZ23" s="7">
        <v>0.220764431803327</v>
      </c>
      <c r="BA23" s="6">
        <v>0</v>
      </c>
      <c r="BB23" s="6">
        <v>0</v>
      </c>
      <c r="BC23" s="6" t="s">
        <v>30</v>
      </c>
      <c r="BD23" s="7">
        <v>61.73</v>
      </c>
      <c r="BE23" s="7">
        <v>36.744602710669803</v>
      </c>
      <c r="BF23" s="7">
        <v>0.13069898533094099</v>
      </c>
      <c r="BG23" s="6">
        <v>1626.81666666667</v>
      </c>
      <c r="BH23" s="6">
        <v>3.9585157832198199</v>
      </c>
      <c r="BI23" s="6">
        <v>0.15900356620390399</v>
      </c>
      <c r="BJ23" s="7"/>
      <c r="BK23" s="7"/>
      <c r="BL23" s="6"/>
      <c r="BM23" s="6"/>
      <c r="BN23" s="7"/>
      <c r="BO23" s="7"/>
      <c r="BP23" s="6"/>
      <c r="BQ23" s="6"/>
      <c r="BR23" s="7"/>
      <c r="BS23" s="7"/>
      <c r="BT23" s="6"/>
      <c r="BU23" s="6"/>
    </row>
    <row r="24" spans="1:73">
      <c r="A24" s="3"/>
      <c r="B24" s="3" t="b">
        <v>0</v>
      </c>
      <c r="C24" s="3" t="s">
        <v>77</v>
      </c>
      <c r="D24" s="4">
        <v>46244.593923611101</v>
      </c>
      <c r="E24" s="5" t="s">
        <v>26</v>
      </c>
      <c r="F24" s="6"/>
      <c r="G24" s="3" t="s">
        <v>41</v>
      </c>
      <c r="H24" s="7">
        <v>41745.14</v>
      </c>
      <c r="I24" s="7">
        <v>1.4920484506426199</v>
      </c>
      <c r="J24" s="7">
        <v>140.545392276825</v>
      </c>
      <c r="K24" s="6">
        <v>1933.8233333333301</v>
      </c>
      <c r="L24" s="6">
        <v>4.0452757171388702</v>
      </c>
      <c r="M24" s="6">
        <v>13.324203125385001</v>
      </c>
      <c r="N24" s="7">
        <v>553.92999999999995</v>
      </c>
      <c r="O24" s="7">
        <v>3.06253568040094</v>
      </c>
      <c r="P24" s="7">
        <v>13.4566089293545</v>
      </c>
      <c r="Q24" s="6">
        <v>7731.85</v>
      </c>
      <c r="R24" s="6">
        <v>1.7474525093267199</v>
      </c>
      <c r="S24" s="6">
        <v>68.556441018422703</v>
      </c>
      <c r="T24" s="7">
        <v>108.45</v>
      </c>
      <c r="U24" s="7">
        <v>20.2063258616379</v>
      </c>
      <c r="V24" s="7">
        <v>53.529020102449202</v>
      </c>
      <c r="W24" s="6">
        <v>2401.0533333333301</v>
      </c>
      <c r="X24" s="6">
        <v>6.9581130226947296</v>
      </c>
      <c r="Y24" s="6">
        <v>89.979107782023107</v>
      </c>
      <c r="Z24" s="7">
        <v>330.35333333333301</v>
      </c>
      <c r="AA24" s="7">
        <v>13.9543484572156</v>
      </c>
      <c r="AB24" s="7">
        <v>0.129068901488681</v>
      </c>
      <c r="AC24" s="6">
        <v>815.88333333333298</v>
      </c>
      <c r="AD24" s="6">
        <v>7.3609714263314796</v>
      </c>
      <c r="AE24" s="6">
        <v>0.94171807667626695</v>
      </c>
      <c r="AF24" s="7">
        <v>1473336.29333333</v>
      </c>
      <c r="AG24" s="7">
        <v>0.90188740841572501</v>
      </c>
      <c r="AH24" s="7">
        <v>272.11361536225201</v>
      </c>
      <c r="AI24" s="6">
        <v>98.436666666666696</v>
      </c>
      <c r="AJ24" s="6">
        <v>45.821179409157899</v>
      </c>
      <c r="AK24" s="6">
        <v>9.6108480709996696E-3</v>
      </c>
      <c r="AL24" s="7">
        <v>186.86666666666699</v>
      </c>
      <c r="AM24" s="7">
        <v>15.0512474524417</v>
      </c>
      <c r="AN24" s="7">
        <v>0.117894161455545</v>
      </c>
      <c r="AO24" s="6">
        <v>6504.97</v>
      </c>
      <c r="AP24" s="6">
        <v>6.9882129662593204</v>
      </c>
      <c r="AQ24" s="6">
        <v>2.2371146656105898</v>
      </c>
      <c r="AR24" s="7">
        <v>9920.49</v>
      </c>
      <c r="AS24" s="7">
        <v>2.9594874026139801</v>
      </c>
      <c r="AT24" s="7">
        <v>9.6494765542033907</v>
      </c>
      <c r="AU24" s="6">
        <v>1.67</v>
      </c>
      <c r="AV24" s="6">
        <v>173.20508075688801</v>
      </c>
      <c r="AW24" s="6">
        <v>3.9843100899233999E-3</v>
      </c>
      <c r="AX24" s="7">
        <v>884.63333333333298</v>
      </c>
      <c r="AY24" s="7">
        <v>8.3311673707366403</v>
      </c>
      <c r="AZ24" s="7">
        <v>0.31565240846235298</v>
      </c>
      <c r="BA24" s="6">
        <v>5.0066666666666704</v>
      </c>
      <c r="BB24" s="6">
        <v>150.000024950073</v>
      </c>
      <c r="BC24" s="6">
        <v>5.4620300731534803E-3</v>
      </c>
      <c r="BD24" s="7">
        <v>116.79</v>
      </c>
      <c r="BE24" s="7">
        <v>25.033995309949098</v>
      </c>
      <c r="BF24" s="7">
        <v>0.261405883659723</v>
      </c>
      <c r="BG24" s="6">
        <v>2532.92</v>
      </c>
      <c r="BH24" s="6">
        <v>9.3933975250383703</v>
      </c>
      <c r="BI24" s="6">
        <v>0.277124486433175</v>
      </c>
      <c r="BJ24" s="7"/>
      <c r="BK24" s="7"/>
      <c r="BL24" s="6"/>
      <c r="BM24" s="6"/>
      <c r="BN24" s="7"/>
      <c r="BO24" s="7"/>
      <c r="BP24" s="6"/>
      <c r="BQ24" s="6"/>
      <c r="BR24" s="7"/>
      <c r="BS24" s="7"/>
      <c r="BT24" s="6"/>
      <c r="BU24" s="6"/>
    </row>
    <row r="25" spans="1:73">
      <c r="A25" s="3"/>
      <c r="B25" s="3" t="b">
        <v>0</v>
      </c>
      <c r="C25" s="3" t="s">
        <v>109</v>
      </c>
      <c r="D25" s="4">
        <v>46244.596990740698</v>
      </c>
      <c r="E25" s="5" t="s">
        <v>26</v>
      </c>
      <c r="F25" s="6"/>
      <c r="G25" s="3" t="s">
        <v>20</v>
      </c>
      <c r="H25" s="7">
        <v>25597.243333333299</v>
      </c>
      <c r="I25" s="7">
        <v>1.2792180298779601</v>
      </c>
      <c r="J25" s="7">
        <v>82.648070833726706</v>
      </c>
      <c r="K25" s="6">
        <v>1611.7833333333299</v>
      </c>
      <c r="L25" s="6">
        <v>6.3941999160464897</v>
      </c>
      <c r="M25" s="6">
        <v>10.770414708095</v>
      </c>
      <c r="N25" s="7">
        <v>729.12</v>
      </c>
      <c r="O25" s="7">
        <v>16.511599967629</v>
      </c>
      <c r="P25" s="7">
        <v>17.942202137277999</v>
      </c>
      <c r="Q25" s="6">
        <v>5400.0066666666698</v>
      </c>
      <c r="R25" s="6">
        <v>9.8460169569480502</v>
      </c>
      <c r="S25" s="6">
        <v>36.6820593743006</v>
      </c>
      <c r="T25" s="7">
        <v>85.09</v>
      </c>
      <c r="U25" s="7">
        <v>22.590985819707001</v>
      </c>
      <c r="V25" s="7">
        <v>41.037964798840903</v>
      </c>
      <c r="W25" s="6">
        <v>1912.13666666667</v>
      </c>
      <c r="X25" s="6">
        <v>6.3107314013101599</v>
      </c>
      <c r="Y25" s="6">
        <v>61.0386552363994</v>
      </c>
      <c r="Z25" s="7">
        <v>250.26333333333301</v>
      </c>
      <c r="AA25" s="7">
        <v>34.1412804368682</v>
      </c>
      <c r="AB25" s="7">
        <v>8.5127867183778003E-2</v>
      </c>
      <c r="AC25" s="6">
        <v>190.20333333333301</v>
      </c>
      <c r="AD25" s="6">
        <v>20.7076196125774</v>
      </c>
      <c r="AE25" s="6">
        <v>0.190345098994849</v>
      </c>
      <c r="AF25" s="7">
        <v>38535.96</v>
      </c>
      <c r="AG25" s="7">
        <v>0.15691123028741599</v>
      </c>
      <c r="AH25" s="7">
        <v>6.6558132188766503</v>
      </c>
      <c r="AI25" s="6">
        <v>56.726666666666702</v>
      </c>
      <c r="AJ25" s="6" t="s">
        <v>34</v>
      </c>
      <c r="AK25" s="6" t="s">
        <v>30</v>
      </c>
      <c r="AL25" s="7">
        <v>155.16333333333299</v>
      </c>
      <c r="AM25" s="7">
        <v>30.566001598628201</v>
      </c>
      <c r="AN25" s="7">
        <v>8.5892923703220603E-2</v>
      </c>
      <c r="AO25" s="6">
        <v>1242762.81</v>
      </c>
      <c r="AP25" s="6">
        <v>0.34442528861941801</v>
      </c>
      <c r="AQ25" s="6">
        <v>445.82829588145501</v>
      </c>
      <c r="AR25" s="7">
        <v>14378.946666666699</v>
      </c>
      <c r="AS25" s="7">
        <v>3.0733185597229098</v>
      </c>
      <c r="AT25" s="7">
        <v>21.536779255197001</v>
      </c>
      <c r="AU25" s="6">
        <v>3.34</v>
      </c>
      <c r="AV25" s="6">
        <v>86.602540378443805</v>
      </c>
      <c r="AW25" s="6">
        <v>7.9686201798467894E-3</v>
      </c>
      <c r="AX25" s="7">
        <v>16608.9866666667</v>
      </c>
      <c r="AY25" s="7">
        <v>0.91991448488194805</v>
      </c>
      <c r="AZ25" s="7">
        <v>6.2861692966122096</v>
      </c>
      <c r="BA25" s="6">
        <v>6.6766666666666703</v>
      </c>
      <c r="BB25" s="6">
        <v>152.74526358505301</v>
      </c>
      <c r="BC25" s="6">
        <v>8.1957733964800397E-3</v>
      </c>
      <c r="BD25" s="7">
        <v>533.90666666666698</v>
      </c>
      <c r="BE25" s="7">
        <v>8.8220776462315502</v>
      </c>
      <c r="BF25" s="7">
        <v>1.2515988684261601</v>
      </c>
      <c r="BG25" s="6">
        <v>21810.976666666698</v>
      </c>
      <c r="BH25" s="6">
        <v>1.2420779463760301</v>
      </c>
      <c r="BI25" s="6">
        <v>2.7902393927890001</v>
      </c>
      <c r="BJ25" s="7"/>
      <c r="BK25" s="7"/>
      <c r="BL25" s="6"/>
      <c r="BM25" s="6"/>
      <c r="BN25" s="7"/>
      <c r="BO25" s="7"/>
      <c r="BP25" s="6"/>
      <c r="BQ25" s="6"/>
      <c r="BR25" s="7"/>
      <c r="BS25" s="7"/>
      <c r="BT25" s="6"/>
      <c r="BU25" s="6"/>
    </row>
    <row r="26" spans="1:73">
      <c r="A26" s="3"/>
      <c r="B26" s="3" t="b">
        <v>0</v>
      </c>
      <c r="C26" s="3" t="s">
        <v>1</v>
      </c>
      <c r="D26" s="4">
        <v>46244.600023148101</v>
      </c>
      <c r="E26" s="5" t="s">
        <v>26</v>
      </c>
      <c r="F26" s="6"/>
      <c r="G26" s="3" t="s">
        <v>86</v>
      </c>
      <c r="H26" s="7">
        <v>4730.7266666666701</v>
      </c>
      <c r="I26" s="7">
        <v>4.7366120021739002</v>
      </c>
      <c r="J26" s="7">
        <v>7.8324185053569497</v>
      </c>
      <c r="K26" s="6">
        <v>56.726666666666702</v>
      </c>
      <c r="L26" s="6" t="s">
        <v>34</v>
      </c>
      <c r="M26" s="6" t="s">
        <v>30</v>
      </c>
      <c r="N26" s="7">
        <v>21.69</v>
      </c>
      <c r="O26" s="7" t="s">
        <v>34</v>
      </c>
      <c r="P26" s="7" t="s">
        <v>30</v>
      </c>
      <c r="Q26" s="6">
        <v>3600.89</v>
      </c>
      <c r="R26" s="6">
        <v>9.6461351853597801</v>
      </c>
      <c r="S26" s="6">
        <v>12.0896133742259</v>
      </c>
      <c r="T26" s="7">
        <v>5.01</v>
      </c>
      <c r="U26" s="7">
        <v>0</v>
      </c>
      <c r="V26" s="7" t="s">
        <v>30</v>
      </c>
      <c r="W26" s="6">
        <v>869.27</v>
      </c>
      <c r="X26" s="6" t="s">
        <v>34</v>
      </c>
      <c r="Y26" s="6" t="s">
        <v>30</v>
      </c>
      <c r="Z26" s="7">
        <v>382.07</v>
      </c>
      <c r="AA26" s="7">
        <v>19.213355444759699</v>
      </c>
      <c r="AB26" s="7">
        <v>0.15744302839759899</v>
      </c>
      <c r="AC26" s="6">
        <v>63.4033333333333</v>
      </c>
      <c r="AD26" s="6">
        <v>86.955561594391995</v>
      </c>
      <c r="AE26" s="6">
        <v>3.8072222172825097E-2</v>
      </c>
      <c r="AF26" s="7">
        <v>6686.92</v>
      </c>
      <c r="AG26" s="7">
        <v>3.8317926626191698</v>
      </c>
      <c r="AH26" s="7">
        <v>0.76330262882488797</v>
      </c>
      <c r="AI26" s="6">
        <v>51.72</v>
      </c>
      <c r="AJ26" s="6" t="s">
        <v>34</v>
      </c>
      <c r="AK26" s="6" t="s">
        <v>30</v>
      </c>
      <c r="AL26" s="7">
        <v>146.82</v>
      </c>
      <c r="AM26" s="7">
        <v>16.414709532827501</v>
      </c>
      <c r="AN26" s="7">
        <v>7.7471191173090495E-2</v>
      </c>
      <c r="AO26" s="6">
        <v>387.08</v>
      </c>
      <c r="AP26" s="6">
        <v>64.475036627994598</v>
      </c>
      <c r="AQ26" s="6">
        <v>4.1907513962839003E-2</v>
      </c>
      <c r="AR26" s="7">
        <v>6875.5433333333303</v>
      </c>
      <c r="AS26" s="7">
        <v>38.0781521456137</v>
      </c>
      <c r="AT26" s="7">
        <v>1.53092669688021</v>
      </c>
      <c r="AU26" s="6">
        <v>5.0066666666666704</v>
      </c>
      <c r="AV26" s="6">
        <v>173.20508075688801</v>
      </c>
      <c r="AW26" s="6">
        <v>1.19449775550198E-2</v>
      </c>
      <c r="AX26" s="7">
        <v>96.623333333333306</v>
      </c>
      <c r="AY26" s="7">
        <v>29.039001397370601</v>
      </c>
      <c r="AZ26" s="7">
        <v>1.64460173761505E-2</v>
      </c>
      <c r="BA26" s="6">
        <v>6.6766666666666703</v>
      </c>
      <c r="BB26" s="6">
        <v>57.658149386447299</v>
      </c>
      <c r="BC26" s="6">
        <v>8.1957733964800397E-3</v>
      </c>
      <c r="BD26" s="7">
        <v>3.33666666666667</v>
      </c>
      <c r="BE26" s="7" t="s">
        <v>34</v>
      </c>
      <c r="BF26" s="7" t="s">
        <v>30</v>
      </c>
      <c r="BG26" s="6">
        <v>281.96666666666698</v>
      </c>
      <c r="BH26" s="6" t="s">
        <v>34</v>
      </c>
      <c r="BI26" s="6" t="s">
        <v>30</v>
      </c>
      <c r="BJ26" s="7"/>
      <c r="BK26" s="7"/>
      <c r="BL26" s="6"/>
      <c r="BM26" s="6"/>
      <c r="BN26" s="7"/>
      <c r="BO26" s="7"/>
      <c r="BP26" s="6"/>
      <c r="BQ26" s="6"/>
      <c r="BR26" s="7"/>
      <c r="BS26" s="7"/>
      <c r="BT26" s="6"/>
      <c r="BU26" s="6"/>
    </row>
    <row r="27" spans="1:73">
      <c r="A27" s="3"/>
      <c r="B27" s="3" t="b">
        <v>0</v>
      </c>
      <c r="C27" s="3" t="s">
        <v>21</v>
      </c>
      <c r="D27" s="4">
        <v>46244.6030902778</v>
      </c>
      <c r="E27" s="5" t="s">
        <v>26</v>
      </c>
      <c r="F27" s="6"/>
      <c r="G27" s="3" t="s">
        <v>91</v>
      </c>
      <c r="H27" s="7">
        <v>4470.3766666666697</v>
      </c>
      <c r="I27" s="7">
        <v>3.1658753708109901</v>
      </c>
      <c r="J27" s="7">
        <v>6.8989490914223</v>
      </c>
      <c r="K27" s="6">
        <v>55.0566666666667</v>
      </c>
      <c r="L27" s="6" t="s">
        <v>34</v>
      </c>
      <c r="M27" s="6" t="s">
        <v>30</v>
      </c>
      <c r="N27" s="7">
        <v>11.6833333333333</v>
      </c>
      <c r="O27" s="7" t="s">
        <v>34</v>
      </c>
      <c r="P27" s="7" t="s">
        <v>30</v>
      </c>
      <c r="Q27" s="6">
        <v>3599.2366666666699</v>
      </c>
      <c r="R27" s="6">
        <v>33.776335779354099</v>
      </c>
      <c r="S27" s="6">
        <v>12.0670136665619</v>
      </c>
      <c r="T27" s="7">
        <v>3.33666666666667</v>
      </c>
      <c r="U27" s="7" t="s">
        <v>34</v>
      </c>
      <c r="V27" s="7" t="s">
        <v>30</v>
      </c>
      <c r="W27" s="6">
        <v>820.89</v>
      </c>
      <c r="X27" s="6" t="s">
        <v>34</v>
      </c>
      <c r="Y27" s="6" t="s">
        <v>30</v>
      </c>
      <c r="Z27" s="7">
        <v>432.12666666666701</v>
      </c>
      <c r="AA27" s="7">
        <v>12.804515596296699</v>
      </c>
      <c r="AB27" s="7">
        <v>0.18490640344053999</v>
      </c>
      <c r="AC27" s="6">
        <v>50.053333333333299</v>
      </c>
      <c r="AD27" s="6">
        <v>178.835455902229</v>
      </c>
      <c r="AE27" s="6">
        <v>2.2040338059465401E-2</v>
      </c>
      <c r="AF27" s="7">
        <v>6660.1766666666699</v>
      </c>
      <c r="AG27" s="7">
        <v>3.8662467722195402</v>
      </c>
      <c r="AH27" s="7">
        <v>0.75835474421423898</v>
      </c>
      <c r="AI27" s="6">
        <v>16.686666666666699</v>
      </c>
      <c r="AJ27" s="6" t="s">
        <v>34</v>
      </c>
      <c r="AK27" s="6" t="s">
        <v>30</v>
      </c>
      <c r="AL27" s="7">
        <v>158.5</v>
      </c>
      <c r="AM27" s="7">
        <v>14.246623958436199</v>
      </c>
      <c r="AN27" s="7">
        <v>8.9260943784187502E-2</v>
      </c>
      <c r="AO27" s="6">
        <v>370.39666666666699</v>
      </c>
      <c r="AP27" s="6">
        <v>34.999357851647197</v>
      </c>
      <c r="AQ27" s="6">
        <v>3.5921238850560602E-2</v>
      </c>
      <c r="AR27" s="7">
        <v>6653.55666666667</v>
      </c>
      <c r="AS27" s="7">
        <v>32.047703309212501</v>
      </c>
      <c r="AT27" s="7">
        <v>0.939057604155767</v>
      </c>
      <c r="AU27" s="6">
        <v>1.67</v>
      </c>
      <c r="AV27" s="6">
        <v>173.20508075688801</v>
      </c>
      <c r="AW27" s="6">
        <v>3.9843100899233999E-3</v>
      </c>
      <c r="AX27" s="7">
        <v>61.643333333333302</v>
      </c>
      <c r="AY27" s="7">
        <v>138.494782573207</v>
      </c>
      <c r="AZ27" s="7">
        <v>3.16415602896539E-3</v>
      </c>
      <c r="BA27" s="6">
        <v>3.34</v>
      </c>
      <c r="BB27" s="6">
        <v>173.20508075688801</v>
      </c>
      <c r="BC27" s="6">
        <v>2.7337433233265698E-3</v>
      </c>
      <c r="BD27" s="7">
        <v>1.67</v>
      </c>
      <c r="BE27" s="7" t="s">
        <v>34</v>
      </c>
      <c r="BF27" s="7" t="s">
        <v>30</v>
      </c>
      <c r="BG27" s="6">
        <v>305.32666666666699</v>
      </c>
      <c r="BH27" s="6" t="s">
        <v>34</v>
      </c>
      <c r="BI27" s="6" t="s">
        <v>30</v>
      </c>
      <c r="BJ27" s="7"/>
      <c r="BK27" s="7"/>
      <c r="BL27" s="6"/>
      <c r="BM27" s="6"/>
      <c r="BN27" s="7"/>
      <c r="BO27" s="7"/>
      <c r="BP27" s="6"/>
      <c r="BQ27" s="6"/>
      <c r="BR27" s="7"/>
      <c r="BS27" s="7"/>
      <c r="BT27" s="6"/>
      <c r="BU27" s="6"/>
    </row>
    <row r="28" spans="1:73">
      <c r="A28" s="3"/>
      <c r="B28" s="3" t="b">
        <v>0</v>
      </c>
      <c r="C28" s="3" t="s">
        <v>96</v>
      </c>
      <c r="D28" s="4">
        <v>46244.606111111098</v>
      </c>
      <c r="E28" s="5" t="s">
        <v>26</v>
      </c>
      <c r="F28" s="6"/>
      <c r="G28" s="3" t="s">
        <v>3</v>
      </c>
      <c r="H28" s="7">
        <v>2329.30666666667</v>
      </c>
      <c r="I28" s="7" t="s">
        <v>34</v>
      </c>
      <c r="J28" s="7" t="s">
        <v>30</v>
      </c>
      <c r="K28" s="6">
        <v>6.6766666666666703</v>
      </c>
      <c r="L28" s="6" t="s">
        <v>34</v>
      </c>
      <c r="M28" s="6" t="s">
        <v>30</v>
      </c>
      <c r="N28" s="7">
        <v>3.34</v>
      </c>
      <c r="O28" s="7" t="s">
        <v>34</v>
      </c>
      <c r="P28" s="7" t="s">
        <v>30</v>
      </c>
      <c r="Q28" s="6">
        <v>3138.6266666666702</v>
      </c>
      <c r="R28" s="6">
        <v>15.6842104368382</v>
      </c>
      <c r="S28" s="6">
        <v>5.7708535775768901</v>
      </c>
      <c r="T28" s="7">
        <v>3.34</v>
      </c>
      <c r="U28" s="7" t="s">
        <v>34</v>
      </c>
      <c r="V28" s="7" t="s">
        <v>30</v>
      </c>
      <c r="W28" s="6">
        <v>659.04666666666697</v>
      </c>
      <c r="X28" s="6" t="s">
        <v>34</v>
      </c>
      <c r="Y28" s="6" t="s">
        <v>30</v>
      </c>
      <c r="Z28" s="7">
        <v>83.423333333333304</v>
      </c>
      <c r="AA28" s="7" t="s">
        <v>34</v>
      </c>
      <c r="AB28" s="7" t="s">
        <v>30</v>
      </c>
      <c r="AC28" s="6">
        <v>18.356666666666701</v>
      </c>
      <c r="AD28" s="6" t="s">
        <v>34</v>
      </c>
      <c r="AE28" s="6" t="s">
        <v>30</v>
      </c>
      <c r="AF28" s="7">
        <v>352.04</v>
      </c>
      <c r="AG28" s="7" t="s">
        <v>34</v>
      </c>
      <c r="AH28" s="7" t="s">
        <v>30</v>
      </c>
      <c r="AI28" s="6">
        <v>3.34</v>
      </c>
      <c r="AJ28" s="6" t="s">
        <v>34</v>
      </c>
      <c r="AK28" s="6" t="s">
        <v>30</v>
      </c>
      <c r="AL28" s="7">
        <v>21.69</v>
      </c>
      <c r="AM28" s="7" t="s">
        <v>34</v>
      </c>
      <c r="AN28" s="7" t="s">
        <v>30</v>
      </c>
      <c r="AO28" s="6">
        <v>120.12666666666701</v>
      </c>
      <c r="AP28" s="6" t="s">
        <v>34</v>
      </c>
      <c r="AQ28" s="6" t="s">
        <v>30</v>
      </c>
      <c r="AR28" s="7">
        <v>8476.41</v>
      </c>
      <c r="AS28" s="7">
        <v>20.189089620834601</v>
      </c>
      <c r="AT28" s="7">
        <v>5.7992168415111296</v>
      </c>
      <c r="AU28" s="6">
        <v>1.67</v>
      </c>
      <c r="AV28" s="6">
        <v>173.20508075688801</v>
      </c>
      <c r="AW28" s="6">
        <v>3.9843100899233999E-3</v>
      </c>
      <c r="AX28" s="7">
        <v>26.656666666666698</v>
      </c>
      <c r="AY28" s="7" t="s">
        <v>34</v>
      </c>
      <c r="AZ28" s="7" t="s">
        <v>30</v>
      </c>
      <c r="BA28" s="6">
        <v>1.67</v>
      </c>
      <c r="BB28" s="6" t="s">
        <v>34</v>
      </c>
      <c r="BC28" s="6">
        <v>0</v>
      </c>
      <c r="BD28" s="7">
        <v>0</v>
      </c>
      <c r="BE28" s="7" t="s">
        <v>34</v>
      </c>
      <c r="BF28" s="7" t="s">
        <v>30</v>
      </c>
      <c r="BG28" s="6">
        <v>263.613333333333</v>
      </c>
      <c r="BH28" s="6" t="s">
        <v>34</v>
      </c>
      <c r="BI28" s="6" t="s">
        <v>30</v>
      </c>
      <c r="BJ28" s="7"/>
      <c r="BK28" s="7"/>
      <c r="BL28" s="6"/>
      <c r="BM28" s="6"/>
      <c r="BN28" s="7"/>
      <c r="BO28" s="7"/>
      <c r="BP28" s="6"/>
      <c r="BQ28" s="6"/>
      <c r="BR28" s="7"/>
      <c r="BS28" s="7"/>
      <c r="BT28" s="6"/>
      <c r="BU28" s="6"/>
    </row>
    <row r="29" spans="1:73">
      <c r="A29" s="3"/>
      <c r="B29" s="3" t="b">
        <v>0</v>
      </c>
      <c r="C29" s="3" t="s">
        <v>13</v>
      </c>
      <c r="D29" s="4">
        <v>46244.609189814801</v>
      </c>
      <c r="E29" s="5" t="s">
        <v>26</v>
      </c>
      <c r="F29" s="6"/>
      <c r="G29" s="3" t="s">
        <v>85</v>
      </c>
      <c r="H29" s="7">
        <v>2124.06</v>
      </c>
      <c r="I29" s="7" t="s">
        <v>34</v>
      </c>
      <c r="J29" s="7" t="s">
        <v>30</v>
      </c>
      <c r="K29" s="6">
        <v>3.34</v>
      </c>
      <c r="L29" s="6" t="s">
        <v>34</v>
      </c>
      <c r="M29" s="6" t="s">
        <v>30</v>
      </c>
      <c r="N29" s="7">
        <v>5.0066666666666704</v>
      </c>
      <c r="O29" s="7" t="s">
        <v>34</v>
      </c>
      <c r="P29" s="7" t="s">
        <v>30</v>
      </c>
      <c r="Q29" s="6">
        <v>3136.98</v>
      </c>
      <c r="R29" s="6">
        <v>61.050597867746099</v>
      </c>
      <c r="S29" s="6">
        <v>5.7483449977663499</v>
      </c>
      <c r="T29" s="7">
        <v>5.0066666666666704</v>
      </c>
      <c r="U29" s="7" t="s">
        <v>34</v>
      </c>
      <c r="V29" s="7" t="s">
        <v>30</v>
      </c>
      <c r="W29" s="6">
        <v>714.10333333333301</v>
      </c>
      <c r="X29" s="6" t="s">
        <v>34</v>
      </c>
      <c r="Y29" s="6" t="s">
        <v>30</v>
      </c>
      <c r="Z29" s="7">
        <v>71.743333333333297</v>
      </c>
      <c r="AA29" s="7" t="s">
        <v>34</v>
      </c>
      <c r="AB29" s="7" t="s">
        <v>30</v>
      </c>
      <c r="AC29" s="6">
        <v>6.6766666666666703</v>
      </c>
      <c r="AD29" s="6" t="s">
        <v>34</v>
      </c>
      <c r="AE29" s="6" t="s">
        <v>30</v>
      </c>
      <c r="AF29" s="7">
        <v>402.09333333333302</v>
      </c>
      <c r="AG29" s="7" t="s">
        <v>34</v>
      </c>
      <c r="AH29" s="7" t="s">
        <v>30</v>
      </c>
      <c r="AI29" s="6">
        <v>0</v>
      </c>
      <c r="AJ29" s="6">
        <v>0</v>
      </c>
      <c r="AK29" s="6" t="s">
        <v>30</v>
      </c>
      <c r="AL29" s="7">
        <v>15.016666666666699</v>
      </c>
      <c r="AM29" s="7" t="s">
        <v>34</v>
      </c>
      <c r="AN29" s="7" t="s">
        <v>30</v>
      </c>
      <c r="AO29" s="6">
        <v>73.41</v>
      </c>
      <c r="AP29" s="6" t="s">
        <v>34</v>
      </c>
      <c r="AQ29" s="6" t="s">
        <v>30</v>
      </c>
      <c r="AR29" s="7">
        <v>4934.36333333333</v>
      </c>
      <c r="AS29" s="7" t="s">
        <v>34</v>
      </c>
      <c r="AT29" s="7" t="s">
        <v>30</v>
      </c>
      <c r="AU29" s="6">
        <v>0</v>
      </c>
      <c r="AV29" s="6" t="s">
        <v>34</v>
      </c>
      <c r="AW29" s="6">
        <v>0</v>
      </c>
      <c r="AX29" s="7">
        <v>18.3266666666667</v>
      </c>
      <c r="AY29" s="7" t="s">
        <v>34</v>
      </c>
      <c r="AZ29" s="7" t="s">
        <v>30</v>
      </c>
      <c r="BA29" s="6">
        <v>0</v>
      </c>
      <c r="BB29" s="6">
        <v>0</v>
      </c>
      <c r="BC29" s="6" t="s">
        <v>30</v>
      </c>
      <c r="BD29" s="7">
        <v>0</v>
      </c>
      <c r="BE29" s="7" t="s">
        <v>34</v>
      </c>
      <c r="BF29" s="7" t="s">
        <v>30</v>
      </c>
      <c r="BG29" s="6">
        <v>243.59333333333299</v>
      </c>
      <c r="BH29" s="6" t="s">
        <v>34</v>
      </c>
      <c r="BI29" s="6" t="s">
        <v>30</v>
      </c>
      <c r="BJ29" s="7"/>
      <c r="BK29" s="7"/>
      <c r="BL29" s="6"/>
      <c r="BM29" s="6"/>
      <c r="BN29" s="7"/>
      <c r="BO29" s="7"/>
      <c r="BP29" s="6"/>
      <c r="BQ29" s="6"/>
      <c r="BR29" s="7"/>
      <c r="BS29" s="7"/>
      <c r="BT29" s="6"/>
      <c r="BU29" s="6"/>
    </row>
  </sheetData>
  <mergeCells count="25">
    <mergeCell ref="A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  <mergeCell ref="BA1:BC1"/>
    <mergeCell ref="BD1:BF1"/>
    <mergeCell ref="BG1:BI1"/>
    <mergeCell ref="BJ1:BK1"/>
    <mergeCell ref="BL1:BM1"/>
    <mergeCell ref="BN1:BO1"/>
    <mergeCell ref="BP1:BQ1"/>
    <mergeCell ref="BR1:BS1"/>
    <mergeCell ref="BT1:BU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000-000000000000}">
          <x14:formula1>
            <xm:f>ValueList_Helper!$A$1:$A$20</xm:f>
          </x14:formula1>
          <xm:sqref>E3:E29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CC1FA-49B4-429D-9BD7-57887445F386}">
  <dimension ref="A1:X18"/>
  <sheetViews>
    <sheetView tabSelected="1" zoomScale="85" zoomScaleNormal="85" workbookViewId="0">
      <selection activeCell="N18" sqref="N18"/>
    </sheetView>
  </sheetViews>
  <sheetFormatPr defaultColWidth="9.1796875" defaultRowHeight="14.5"/>
  <cols>
    <col min="1" max="1" width="12.453125" style="1" customWidth="1"/>
    <col min="2" max="2" width="7.453125" style="1" customWidth="1"/>
    <col min="3" max="3" width="10.7265625" style="1" customWidth="1"/>
    <col min="4" max="22" width="11" style="1" customWidth="1"/>
    <col min="23" max="16384" width="9.1796875" style="1"/>
  </cols>
  <sheetData>
    <row r="1" spans="1:24" ht="18" customHeight="1">
      <c r="A1" s="8" t="s">
        <v>26</v>
      </c>
      <c r="B1" s="8"/>
      <c r="C1" s="8" t="s">
        <v>105</v>
      </c>
      <c r="D1" s="8" t="s">
        <v>12</v>
      </c>
      <c r="E1" s="8" t="s">
        <v>69</v>
      </c>
      <c r="F1" s="8" t="s">
        <v>50</v>
      </c>
      <c r="G1" s="8" t="s">
        <v>14</v>
      </c>
      <c r="H1" s="8" t="s">
        <v>18</v>
      </c>
      <c r="I1" s="8" t="s">
        <v>90</v>
      </c>
      <c r="J1" s="8" t="s">
        <v>17</v>
      </c>
      <c r="K1" s="8" t="s">
        <v>79</v>
      </c>
      <c r="L1" s="8" t="s">
        <v>66</v>
      </c>
      <c r="M1" s="8" t="s">
        <v>48</v>
      </c>
      <c r="N1" s="14" t="s">
        <v>71</v>
      </c>
      <c r="O1" s="15"/>
      <c r="P1" s="16"/>
      <c r="Q1" s="8" t="s">
        <v>70</v>
      </c>
      <c r="R1" s="8" t="s">
        <v>2</v>
      </c>
      <c r="S1" s="8" t="s">
        <v>19</v>
      </c>
      <c r="T1" s="8" t="s">
        <v>84</v>
      </c>
      <c r="U1" s="8" t="s">
        <v>31</v>
      </c>
      <c r="V1" s="8" t="s">
        <v>112</v>
      </c>
    </row>
    <row r="2" spans="1:24" ht="18" customHeight="1">
      <c r="A2" s="2" t="s">
        <v>99</v>
      </c>
      <c r="B2" s="2" t="s">
        <v>116</v>
      </c>
      <c r="C2" s="2" t="s">
        <v>46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46</v>
      </c>
      <c r="M2" s="2" t="s">
        <v>46</v>
      </c>
      <c r="N2" s="2" t="s">
        <v>118</v>
      </c>
      <c r="O2" s="2" t="s">
        <v>117</v>
      </c>
      <c r="P2" s="2" t="s">
        <v>46</v>
      </c>
      <c r="Q2" s="2" t="s">
        <v>46</v>
      </c>
      <c r="R2" s="2" t="s">
        <v>46</v>
      </c>
      <c r="S2" s="2" t="s">
        <v>46</v>
      </c>
      <c r="T2" s="2" t="s">
        <v>46</v>
      </c>
      <c r="U2" s="2" t="s">
        <v>46</v>
      </c>
      <c r="V2" s="2" t="s">
        <v>46</v>
      </c>
    </row>
    <row r="3" spans="1:24">
      <c r="A3" s="3" t="s">
        <v>75</v>
      </c>
      <c r="B3" s="10">
        <v>0.03</v>
      </c>
      <c r="C3" s="9">
        <v>779494.34820635209</v>
      </c>
      <c r="D3" s="9">
        <v>95663.446526569998</v>
      </c>
      <c r="E3" s="9">
        <v>183266.05961858699</v>
      </c>
      <c r="F3" s="9">
        <v>272603.50602596998</v>
      </c>
      <c r="G3" s="9">
        <v>312258.55859576701</v>
      </c>
      <c r="H3" s="9">
        <v>544214.678696185</v>
      </c>
      <c r="I3" s="9">
        <v>1135.0748054972</v>
      </c>
      <c r="J3" s="9">
        <v>1222.1859818953799</v>
      </c>
      <c r="K3" s="9">
        <v>95368.844665627301</v>
      </c>
      <c r="L3" s="9" t="s">
        <v>30</v>
      </c>
      <c r="M3" s="9">
        <v>151.64502002915</v>
      </c>
      <c r="N3" s="13">
        <f>(O3/$X$7)*100</f>
        <v>76.245160533073545</v>
      </c>
      <c r="O3" s="9">
        <f>P3*B3</f>
        <v>3619.9196973381299</v>
      </c>
      <c r="P3" s="9">
        <v>120663.989911271</v>
      </c>
      <c r="Q3" s="9">
        <v>149736.67701423101</v>
      </c>
      <c r="R3" s="9">
        <v>0</v>
      </c>
      <c r="S3" s="9">
        <v>77644.908379178902</v>
      </c>
      <c r="T3" s="9">
        <v>218.48120292613899</v>
      </c>
      <c r="U3" s="9">
        <v>633.75199704274803</v>
      </c>
      <c r="V3" s="9">
        <v>11829.782068074699</v>
      </c>
    </row>
    <row r="4" spans="1:24">
      <c r="A4" s="3" t="s">
        <v>45</v>
      </c>
      <c r="B4" s="10">
        <v>0.03</v>
      </c>
      <c r="C4" s="9">
        <v>401613.78675404005</v>
      </c>
      <c r="D4" s="9">
        <v>38634.601032404898</v>
      </c>
      <c r="E4" s="9">
        <v>150373.24567689101</v>
      </c>
      <c r="F4" s="9">
        <v>212602.19345654501</v>
      </c>
      <c r="G4" s="9">
        <v>107068.734601562</v>
      </c>
      <c r="H4" s="9">
        <v>251854.44859271101</v>
      </c>
      <c r="I4" s="9">
        <v>1913.1458524452598</v>
      </c>
      <c r="J4" s="9">
        <v>1142.0866058383699</v>
      </c>
      <c r="K4" s="9">
        <v>75804.632627907893</v>
      </c>
      <c r="L4" s="9">
        <v>216.23688138167702</v>
      </c>
      <c r="M4" s="9">
        <v>252.65197590390298</v>
      </c>
      <c r="N4" s="13">
        <f>(O4/$X$7)*100</f>
        <v>76.844029292656472</v>
      </c>
      <c r="O4" s="9">
        <f t="shared" ref="O4:O10" si="0">P4*B4</f>
        <v>3648.3524110182898</v>
      </c>
      <c r="P4" s="9">
        <v>121611.747033943</v>
      </c>
      <c r="Q4" s="9">
        <v>121823.66276560501</v>
      </c>
      <c r="R4" s="9">
        <v>79.686201798467891</v>
      </c>
      <c r="S4" s="9">
        <v>76897.357532399692</v>
      </c>
      <c r="T4" s="9">
        <v>54.620300731534805</v>
      </c>
      <c r="U4" s="9">
        <v>633.75199704274803</v>
      </c>
      <c r="V4" s="9">
        <v>33957.642933750496</v>
      </c>
    </row>
    <row r="5" spans="1:24">
      <c r="A5" s="3" t="s">
        <v>35</v>
      </c>
      <c r="B5" s="10">
        <v>0.03</v>
      </c>
      <c r="C5" s="9">
        <v>1042054.35760803</v>
      </c>
      <c r="D5" s="9">
        <v>134697.45698001201</v>
      </c>
      <c r="E5" s="9">
        <v>173441.74251213</v>
      </c>
      <c r="F5" s="9">
        <v>373207.744993695</v>
      </c>
      <c r="G5" s="9">
        <v>392537.82955388899</v>
      </c>
      <c r="H5" s="9">
        <v>645943.79765628499</v>
      </c>
      <c r="I5" s="9">
        <v>906.216394837709</v>
      </c>
      <c r="J5" s="9">
        <v>3326.0255158425698</v>
      </c>
      <c r="K5" s="9">
        <v>86267.506021282708</v>
      </c>
      <c r="L5" s="9">
        <v>221.03702525891202</v>
      </c>
      <c r="M5" s="9">
        <v>1970.47680341406</v>
      </c>
      <c r="N5" s="13">
        <f>(O5/$X$7)*100</f>
        <v>80.620091809380128</v>
      </c>
      <c r="O5" s="9">
        <f t="shared" si="0"/>
        <v>3827.6299282679097</v>
      </c>
      <c r="P5" s="9">
        <v>127587.664275597</v>
      </c>
      <c r="Q5" s="9">
        <v>137316.90009628201</v>
      </c>
      <c r="R5" s="9">
        <v>119.449775550198</v>
      </c>
      <c r="S5" s="9">
        <v>84201.444683166905</v>
      </c>
      <c r="T5" s="9">
        <v>109.24060146307001</v>
      </c>
      <c r="U5" s="9">
        <v>594.10787786202502</v>
      </c>
      <c r="V5" s="9">
        <v>12330.513331278</v>
      </c>
    </row>
    <row r="6" spans="1:24">
      <c r="A6" s="3" t="s">
        <v>64</v>
      </c>
      <c r="B6" s="10">
        <v>0.03</v>
      </c>
      <c r="C6" s="9">
        <v>627211.13229862996</v>
      </c>
      <c r="D6" s="9">
        <v>59672.454772651996</v>
      </c>
      <c r="E6" s="9">
        <v>146955.08999872601</v>
      </c>
      <c r="F6" s="9">
        <v>271458.02890767698</v>
      </c>
      <c r="G6" s="9">
        <v>178418.18434520398</v>
      </c>
      <c r="H6" s="9">
        <v>454328.10933068802</v>
      </c>
      <c r="I6" s="9">
        <v>1098.4618489572999</v>
      </c>
      <c r="J6" s="9">
        <v>1081.96203670412</v>
      </c>
      <c r="K6" s="9">
        <v>79542.040056089696</v>
      </c>
      <c r="L6" s="9">
        <v>120.13800095943499</v>
      </c>
      <c r="M6" s="9">
        <v>286.33217671357204</v>
      </c>
      <c r="N6" s="9"/>
      <c r="O6" s="9">
        <f t="shared" si="0"/>
        <v>3886.3425490913996</v>
      </c>
      <c r="P6" s="9">
        <v>129544.75163638</v>
      </c>
      <c r="Q6" s="9">
        <v>106733.29386506299</v>
      </c>
      <c r="R6" s="9">
        <v>119.52930269770199</v>
      </c>
      <c r="S6" s="9">
        <v>85329.213175010795</v>
      </c>
      <c r="T6" s="9">
        <v>27.337433233265699</v>
      </c>
      <c r="U6" s="9">
        <v>514.89876947898199</v>
      </c>
      <c r="V6" s="9">
        <v>7240.0866011029393</v>
      </c>
      <c r="X6" s="11" t="s">
        <v>119</v>
      </c>
    </row>
    <row r="7" spans="1:24">
      <c r="A7" s="3" t="s">
        <v>65</v>
      </c>
      <c r="B7" s="10">
        <v>0.03</v>
      </c>
      <c r="C7" s="9">
        <v>593904.42252543406</v>
      </c>
      <c r="D7" s="9">
        <v>69860.699190282103</v>
      </c>
      <c r="E7" s="9">
        <v>197365.41837096901</v>
      </c>
      <c r="F7" s="9">
        <v>252977.30022113601</v>
      </c>
      <c r="G7" s="9">
        <v>356854.19268484798</v>
      </c>
      <c r="H7" s="9">
        <v>460251.35722855502</v>
      </c>
      <c r="I7" s="9">
        <v>997.76707437753703</v>
      </c>
      <c r="J7" s="9">
        <v>1202.13111562623</v>
      </c>
      <c r="K7" s="9">
        <v>87469.565077745399</v>
      </c>
      <c r="L7" s="9">
        <v>581.44142784946098</v>
      </c>
      <c r="M7" s="9">
        <v>606.34455423681402</v>
      </c>
      <c r="N7" s="9"/>
      <c r="O7" s="9">
        <f t="shared" si="0"/>
        <v>5961.6414406839594</v>
      </c>
      <c r="P7" s="9">
        <v>198721.38135613198</v>
      </c>
      <c r="Q7" s="9">
        <v>161935.77837250297</v>
      </c>
      <c r="R7" s="9">
        <v>0</v>
      </c>
      <c r="S7" s="9">
        <v>82871.448651199898</v>
      </c>
      <c r="T7" s="9" t="s">
        <v>30</v>
      </c>
      <c r="U7" s="9">
        <v>1346.63397249013</v>
      </c>
      <c r="V7" s="9">
        <v>7292.3354595788505</v>
      </c>
      <c r="X7" s="12">
        <v>4747.7370000000001</v>
      </c>
    </row>
    <row r="8" spans="1:24">
      <c r="A8" s="3" t="s">
        <v>93</v>
      </c>
      <c r="B8" s="10">
        <v>0.03</v>
      </c>
      <c r="C8" s="9">
        <v>494130.57917507202</v>
      </c>
      <c r="D8" s="9">
        <v>44985.765929335503</v>
      </c>
      <c r="E8" s="9">
        <v>159343.23723182699</v>
      </c>
      <c r="F8" s="9">
        <v>226744.32503871698</v>
      </c>
      <c r="G8" s="9">
        <v>124892.729041643</v>
      </c>
      <c r="H8" s="9">
        <v>254816.072541645</v>
      </c>
      <c r="I8" s="9">
        <v>1034.3800309174401</v>
      </c>
      <c r="J8" s="9">
        <v>1122.03173956922</v>
      </c>
      <c r="K8" s="9">
        <v>73402.346151189995</v>
      </c>
      <c r="L8" s="9" t="s">
        <v>30</v>
      </c>
      <c r="M8" s="9">
        <v>1229.4450924928201</v>
      </c>
      <c r="N8" s="9"/>
      <c r="O8" s="9">
        <f t="shared" si="0"/>
        <v>3520.1669445121502</v>
      </c>
      <c r="P8" s="9">
        <v>117338.898150405</v>
      </c>
      <c r="Q8" s="9">
        <v>125429.215234633</v>
      </c>
      <c r="R8" s="9">
        <v>39.843100899234003</v>
      </c>
      <c r="S8" s="9">
        <v>77296.724649751603</v>
      </c>
      <c r="T8" s="9">
        <v>27.337433233265699</v>
      </c>
      <c r="U8" s="9">
        <v>435.68966109593896</v>
      </c>
      <c r="V8" s="9">
        <v>13427.496017948699</v>
      </c>
    </row>
    <row r="9" spans="1:24">
      <c r="A9" s="3" t="s">
        <v>33</v>
      </c>
      <c r="B9" s="10">
        <v>2.9000000000000001E-2</v>
      </c>
      <c r="C9" s="9">
        <v>781535.18089470093</v>
      </c>
      <c r="D9" s="9">
        <v>93017.458237633604</v>
      </c>
      <c r="E9" s="9">
        <v>151653.453796054</v>
      </c>
      <c r="F9" s="9">
        <v>312751.24879611796</v>
      </c>
      <c r="G9" s="9">
        <v>240873.46086324501</v>
      </c>
      <c r="H9" s="9">
        <v>583720.098220199</v>
      </c>
      <c r="I9" s="9">
        <v>851.29696002786</v>
      </c>
      <c r="J9" s="9">
        <v>961.75292810881797</v>
      </c>
      <c r="K9" s="9">
        <v>73931.5965083091</v>
      </c>
      <c r="L9" s="9" t="s">
        <v>30</v>
      </c>
      <c r="M9" s="9">
        <v>185.29157428456401</v>
      </c>
      <c r="N9" s="9"/>
      <c r="O9" s="9">
        <f t="shared" si="0"/>
        <v>5029.763699156857</v>
      </c>
      <c r="P9" s="9">
        <v>173440.127557133</v>
      </c>
      <c r="Q9" s="9">
        <v>115591.68897574799</v>
      </c>
      <c r="R9" s="9">
        <v>79.686201798467891</v>
      </c>
      <c r="S9" s="9">
        <v>76061.450792667601</v>
      </c>
      <c r="T9" s="9" t="s">
        <v>30</v>
      </c>
      <c r="U9" s="9">
        <v>831.81433298955801</v>
      </c>
      <c r="V9" s="9">
        <v>13205.464441710699</v>
      </c>
    </row>
    <row r="10" spans="1:24">
      <c r="A10" s="3" t="s">
        <v>89</v>
      </c>
      <c r="B10" s="10">
        <v>2.8000000000000001E-2</v>
      </c>
      <c r="C10" s="9">
        <v>974626.68454174604</v>
      </c>
      <c r="D10" s="9">
        <v>109820.673377605</v>
      </c>
      <c r="E10" s="9">
        <v>158488.91168030599</v>
      </c>
      <c r="F10" s="9">
        <v>316629.194601127</v>
      </c>
      <c r="G10" s="9">
        <v>312240.73460132699</v>
      </c>
      <c r="H10" s="9">
        <v>645949.71695798193</v>
      </c>
      <c r="I10" s="9">
        <v>942.84763956768802</v>
      </c>
      <c r="J10" s="9">
        <v>1783.2018516799899</v>
      </c>
      <c r="K10" s="9">
        <v>96735.461125886606</v>
      </c>
      <c r="L10" s="9">
        <v>1465.6375303238799</v>
      </c>
      <c r="M10" s="9">
        <v>555.77378319092702</v>
      </c>
      <c r="N10" s="9"/>
      <c r="O10" s="9">
        <f t="shared" si="0"/>
        <v>4734.3977992849168</v>
      </c>
      <c r="P10" s="9">
        <v>169085.63568874702</v>
      </c>
      <c r="Q10" s="9">
        <v>131261.52007890999</v>
      </c>
      <c r="R10" s="9">
        <v>119.449775550198</v>
      </c>
      <c r="S10" s="9">
        <v>71969.792035243692</v>
      </c>
      <c r="T10" s="9">
        <v>27.337433233265699</v>
      </c>
      <c r="U10" s="9">
        <v>1346.63397249013</v>
      </c>
      <c r="V10" s="9">
        <v>12674.31116768</v>
      </c>
      <c r="X10" s="1">
        <v>10000</v>
      </c>
    </row>
    <row r="12" spans="1:24">
      <c r="A12" s="8" t="s">
        <v>26</v>
      </c>
      <c r="B12" s="8"/>
      <c r="C12" s="8" t="s">
        <v>105</v>
      </c>
      <c r="D12" s="8" t="s">
        <v>12</v>
      </c>
      <c r="E12" s="8" t="s">
        <v>69</v>
      </c>
      <c r="F12" s="8" t="s">
        <v>50</v>
      </c>
      <c r="G12" s="8" t="s">
        <v>14</v>
      </c>
      <c r="H12" s="8" t="s">
        <v>18</v>
      </c>
      <c r="I12" s="8" t="s">
        <v>90</v>
      </c>
      <c r="J12" s="8" t="s">
        <v>17</v>
      </c>
      <c r="K12" s="8" t="s">
        <v>79</v>
      </c>
      <c r="L12" s="8" t="s">
        <v>66</v>
      </c>
      <c r="M12" s="8" t="s">
        <v>48</v>
      </c>
      <c r="N12" s="8" t="s">
        <v>71</v>
      </c>
      <c r="O12" s="8" t="s">
        <v>70</v>
      </c>
      <c r="P12" s="8" t="s">
        <v>2</v>
      </c>
      <c r="Q12" s="8" t="s">
        <v>19</v>
      </c>
      <c r="R12" s="8" t="s">
        <v>84</v>
      </c>
      <c r="S12" s="8" t="s">
        <v>31</v>
      </c>
      <c r="T12" s="8" t="s">
        <v>112</v>
      </c>
    </row>
    <row r="13" spans="1:24">
      <c r="A13" s="2" t="s">
        <v>99</v>
      </c>
      <c r="B13" s="2" t="s">
        <v>116</v>
      </c>
      <c r="C13" s="2" t="s">
        <v>46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 t="s">
        <v>46</v>
      </c>
      <c r="N13" s="2" t="s">
        <v>46</v>
      </c>
      <c r="O13" s="2" t="s">
        <v>46</v>
      </c>
      <c r="P13" s="2" t="s">
        <v>46</v>
      </c>
      <c r="Q13" s="2" t="s">
        <v>46</v>
      </c>
      <c r="R13" s="2" t="s">
        <v>46</v>
      </c>
      <c r="S13" s="2" t="s">
        <v>46</v>
      </c>
      <c r="T13" s="2" t="s">
        <v>46</v>
      </c>
    </row>
    <row r="14" spans="1:24">
      <c r="A14" s="3" t="s">
        <v>64</v>
      </c>
      <c r="B14" s="10">
        <v>0.03</v>
      </c>
      <c r="C14" s="9">
        <v>627211.13229862996</v>
      </c>
      <c r="D14" s="9">
        <v>59672.454772651996</v>
      </c>
      <c r="E14" s="9">
        <v>146955.08999872601</v>
      </c>
      <c r="F14" s="9">
        <v>271458.02890767698</v>
      </c>
      <c r="G14" s="9">
        <v>178418.18434520398</v>
      </c>
      <c r="H14" s="9">
        <v>454328.10933068802</v>
      </c>
      <c r="I14" s="9">
        <v>1098.4618489572999</v>
      </c>
      <c r="J14" s="9">
        <v>1081.96203670412</v>
      </c>
      <c r="K14" s="9">
        <v>79542.040056089696</v>
      </c>
      <c r="L14" s="9">
        <v>120.13800095943499</v>
      </c>
      <c r="M14" s="9">
        <v>286.33217671357204</v>
      </c>
      <c r="N14" s="9">
        <v>129544.75163638</v>
      </c>
      <c r="O14" s="9">
        <v>106733.29386506299</v>
      </c>
      <c r="P14" s="9">
        <v>119.52930269770199</v>
      </c>
      <c r="Q14" s="9">
        <v>85329.213175010795</v>
      </c>
      <c r="R14" s="9">
        <v>27.337433233265699</v>
      </c>
      <c r="S14" s="9">
        <v>514.89876947898199</v>
      </c>
      <c r="T14" s="9">
        <v>7240.0866011029393</v>
      </c>
    </row>
    <row r="15" spans="1:24">
      <c r="A15" s="3" t="s">
        <v>65</v>
      </c>
      <c r="B15" s="10">
        <v>0.03</v>
      </c>
      <c r="C15" s="9">
        <v>593904.42252543406</v>
      </c>
      <c r="D15" s="9">
        <v>69860.699190282103</v>
      </c>
      <c r="E15" s="9">
        <v>197365.41837096901</v>
      </c>
      <c r="F15" s="9">
        <v>252977.30022113601</v>
      </c>
      <c r="G15" s="9">
        <v>356854.19268484798</v>
      </c>
      <c r="H15" s="9">
        <v>460251.35722855502</v>
      </c>
      <c r="I15" s="9">
        <v>997.76707437753703</v>
      </c>
      <c r="J15" s="9">
        <v>1202.13111562623</v>
      </c>
      <c r="K15" s="9">
        <v>87469.565077745399</v>
      </c>
      <c r="L15" s="9">
        <v>581.44142784946098</v>
      </c>
      <c r="M15" s="9">
        <v>606.34455423681402</v>
      </c>
      <c r="N15" s="9">
        <v>198721.38135613201</v>
      </c>
      <c r="O15" s="9">
        <v>161935.77837250297</v>
      </c>
      <c r="P15" s="9">
        <v>0</v>
      </c>
      <c r="Q15" s="9">
        <v>82871.448651199898</v>
      </c>
      <c r="R15" s="9" t="s">
        <v>30</v>
      </c>
      <c r="S15" s="9">
        <v>1346.63397249013</v>
      </c>
      <c r="T15" s="9">
        <v>7292.3354595788505</v>
      </c>
    </row>
    <row r="16" spans="1:24">
      <c r="A16" s="3" t="s">
        <v>93</v>
      </c>
      <c r="B16" s="10">
        <v>0.03</v>
      </c>
      <c r="C16" s="9">
        <v>494130.57917507202</v>
      </c>
      <c r="D16" s="9">
        <v>44985.765929335503</v>
      </c>
      <c r="E16" s="9">
        <v>159343.23723182699</v>
      </c>
      <c r="F16" s="9">
        <v>226744.32503871698</v>
      </c>
      <c r="G16" s="9">
        <v>124892.729041643</v>
      </c>
      <c r="H16" s="9">
        <v>254816.072541645</v>
      </c>
      <c r="I16" s="9">
        <v>1034.3800309174401</v>
      </c>
      <c r="J16" s="9">
        <v>1122.03173956922</v>
      </c>
      <c r="K16" s="9">
        <v>73402.346151189995</v>
      </c>
      <c r="L16" s="9" t="s">
        <v>30</v>
      </c>
      <c r="M16" s="9">
        <v>1229.4450924928201</v>
      </c>
      <c r="N16" s="9">
        <v>117338.898150405</v>
      </c>
      <c r="O16" s="9">
        <v>125429.215234633</v>
      </c>
      <c r="P16" s="9">
        <v>39.843100899234003</v>
      </c>
      <c r="Q16" s="9">
        <v>77296.724649751603</v>
      </c>
      <c r="R16" s="9">
        <v>27.337433233265699</v>
      </c>
      <c r="S16" s="9">
        <v>435.68966109593896</v>
      </c>
      <c r="T16" s="9">
        <v>13427.496017948699</v>
      </c>
    </row>
    <row r="17" spans="1:20">
      <c r="A17" s="3" t="s">
        <v>33</v>
      </c>
      <c r="B17" s="10">
        <v>2.9000000000000001E-2</v>
      </c>
      <c r="C17" s="9">
        <v>781535.18089470093</v>
      </c>
      <c r="D17" s="9">
        <v>93017.458237633604</v>
      </c>
      <c r="E17" s="9">
        <v>151653.453796054</v>
      </c>
      <c r="F17" s="9">
        <v>312751.24879611796</v>
      </c>
      <c r="G17" s="9">
        <v>240873.46086324501</v>
      </c>
      <c r="H17" s="9">
        <v>583720.098220199</v>
      </c>
      <c r="I17" s="9">
        <v>851.29696002786</v>
      </c>
      <c r="J17" s="9">
        <v>961.75292810881797</v>
      </c>
      <c r="K17" s="9">
        <v>73931.5965083091</v>
      </c>
      <c r="L17" s="9" t="s">
        <v>30</v>
      </c>
      <c r="M17" s="9">
        <v>185.29157428456401</v>
      </c>
      <c r="N17" s="9">
        <v>173440.127557133</v>
      </c>
      <c r="O17" s="9">
        <v>115591.68897574799</v>
      </c>
      <c r="P17" s="9">
        <v>79.686201798467891</v>
      </c>
      <c r="Q17" s="9">
        <v>76061.450792667601</v>
      </c>
      <c r="R17" s="9" t="s">
        <v>30</v>
      </c>
      <c r="S17" s="9">
        <v>831.81433298955801</v>
      </c>
      <c r="T17" s="9">
        <v>13205.464441710699</v>
      </c>
    </row>
    <row r="18" spans="1:20">
      <c r="A18" s="3" t="s">
        <v>89</v>
      </c>
      <c r="B18" s="10">
        <v>2.8000000000000001E-2</v>
      </c>
      <c r="C18" s="9">
        <v>974626.68454174604</v>
      </c>
      <c r="D18" s="9">
        <v>109820.673377605</v>
      </c>
      <c r="E18" s="9">
        <v>158488.91168030599</v>
      </c>
      <c r="F18" s="9">
        <v>316629.194601127</v>
      </c>
      <c r="G18" s="9">
        <v>312240.73460132699</v>
      </c>
      <c r="H18" s="9">
        <v>645949.71695798193</v>
      </c>
      <c r="I18" s="9">
        <v>942.84763956768802</v>
      </c>
      <c r="J18" s="9">
        <v>1783.2018516799899</v>
      </c>
      <c r="K18" s="9">
        <v>96735.461125886606</v>
      </c>
      <c r="L18" s="9">
        <v>1465.6375303238799</v>
      </c>
      <c r="M18" s="9">
        <v>555.77378319092702</v>
      </c>
      <c r="N18" s="9">
        <v>169085.63568874702</v>
      </c>
      <c r="O18" s="9">
        <v>131261.52007890999</v>
      </c>
      <c r="P18" s="9">
        <v>119.449775550198</v>
      </c>
      <c r="Q18" s="9">
        <v>71969.792035243692</v>
      </c>
      <c r="R18" s="9">
        <v>27.337433233265699</v>
      </c>
      <c r="S18" s="9">
        <v>1346.63397249013</v>
      </c>
      <c r="T18" s="9">
        <v>12674.31116768</v>
      </c>
    </row>
  </sheetData>
  <mergeCells count="1">
    <mergeCell ref="N1:P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20"/>
  <sheetViews>
    <sheetView zoomScaleNormal="100" workbookViewId="0"/>
  </sheetViews>
  <sheetFormatPr defaultColWidth="9.1796875" defaultRowHeight="14.5"/>
  <sheetData>
    <row r="1" spans="1:1">
      <c r="A1" t="s">
        <v>40</v>
      </c>
    </row>
    <row r="2" spans="1:1">
      <c r="A2" t="s">
        <v>51</v>
      </c>
    </row>
    <row r="3" spans="1:1">
      <c r="A3" t="s">
        <v>42</v>
      </c>
    </row>
    <row r="4" spans="1:1">
      <c r="A4" t="s">
        <v>68</v>
      </c>
    </row>
    <row r="5" spans="1:1">
      <c r="A5" t="s">
        <v>102</v>
      </c>
    </row>
    <row r="6" spans="1:1">
      <c r="A6" t="s">
        <v>57</v>
      </c>
    </row>
    <row r="7" spans="1:1">
      <c r="A7" t="s">
        <v>36</v>
      </c>
    </row>
    <row r="8" spans="1:1">
      <c r="A8" t="s">
        <v>37</v>
      </c>
    </row>
    <row r="9" spans="1:1">
      <c r="A9" t="s">
        <v>38</v>
      </c>
    </row>
    <row r="10" spans="1:1">
      <c r="A10" t="s">
        <v>82</v>
      </c>
    </row>
    <row r="11" spans="1:1">
      <c r="A11" t="s">
        <v>4</v>
      </c>
    </row>
    <row r="12" spans="1:1">
      <c r="A12" t="s">
        <v>55</v>
      </c>
    </row>
    <row r="13" spans="1:1">
      <c r="A13" t="s">
        <v>52</v>
      </c>
    </row>
    <row r="14" spans="1:1">
      <c r="A14" t="s">
        <v>95</v>
      </c>
    </row>
    <row r="15" spans="1:1">
      <c r="A15" t="s">
        <v>26</v>
      </c>
    </row>
    <row r="16" spans="1:1">
      <c r="A16" t="s">
        <v>16</v>
      </c>
    </row>
    <row r="17" spans="1:1">
      <c r="A17" t="s">
        <v>98</v>
      </c>
    </row>
    <row r="18" spans="1:1">
      <c r="A18" t="s">
        <v>29</v>
      </c>
    </row>
    <row r="19" spans="1:1">
      <c r="A19" t="s">
        <v>43</v>
      </c>
    </row>
    <row r="20" spans="1:1">
      <c r="A2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Analysis</vt:lpstr>
      <vt:lpstr>ValueList_Helper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Ollie Bridge</dc:creator>
  <cp:lastModifiedBy>Bridge, Ollie</cp:lastModifiedBy>
  <dcterms:created xsi:type="dcterms:W3CDTF">2026-08-10T13:56:10Z</dcterms:created>
  <dcterms:modified xsi:type="dcterms:W3CDTF">2026-08-25T13:20:02Z</dcterms:modified>
</cp:coreProperties>
</file>