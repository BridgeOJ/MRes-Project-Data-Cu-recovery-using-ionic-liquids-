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ojb125_ic_ac_uk/Documents/21 - Research Master's Project/Data/ICP/"/>
    </mc:Choice>
  </mc:AlternateContent>
  <xr:revisionPtr revIDLastSave="396" documentId="8_{239CFB71-1D25-4E00-B225-5A2644DCD5D9}" xr6:coauthVersionLast="47" xr6:coauthVersionMax="47" xr10:uidLastSave="{1ED2DEA2-33E5-4583-9DB8-F6C0F3C4F877}"/>
  <bookViews>
    <workbookView minimized="1" xWindow="3240" yWindow="3230" windowWidth="19200" windowHeight="10520" activeTab="6" xr2:uid="{00000000-000D-0000-FFFF-FFFF00000000}"/>
  </bookViews>
  <sheets>
    <sheet name="Raw Data" sheetId="1" r:id="rId1"/>
    <sheet name="Sheet3" sheetId="4" r:id="rId2"/>
    <sheet name="Cu" sheetId="3" r:id="rId3"/>
    <sheet name="Sheet2" sheetId="6" r:id="rId4"/>
    <sheet name="Multi Element table" sheetId="5" r:id="rId5"/>
    <sheet name="Stacked bar" sheetId="9" r:id="rId6"/>
    <sheet name="For report" sheetId="7" r:id="rId7"/>
    <sheet name="ValueList_Helper" sheetId="2" state="hidden" r:id="rId8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3" l="1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C37" i="5"/>
  <c r="D32" i="5"/>
  <c r="E32" i="5"/>
  <c r="F32" i="5"/>
  <c r="G32" i="5"/>
  <c r="H32" i="5"/>
  <c r="I32" i="5"/>
  <c r="J32" i="5"/>
  <c r="K32" i="5"/>
  <c r="L32" i="5"/>
  <c r="M32" i="5"/>
  <c r="M33" i="5" s="1"/>
  <c r="N32" i="5"/>
  <c r="N33" i="5" s="1"/>
  <c r="O32" i="5"/>
  <c r="P32" i="5"/>
  <c r="Q32" i="5"/>
  <c r="R32" i="5"/>
  <c r="S32" i="5"/>
  <c r="T32" i="5"/>
  <c r="C32" i="5"/>
  <c r="D27" i="5"/>
  <c r="E27" i="5"/>
  <c r="F27" i="5"/>
  <c r="G27" i="5"/>
  <c r="H27" i="5"/>
  <c r="I27" i="5"/>
  <c r="I28" i="5" s="1"/>
  <c r="J27" i="5"/>
  <c r="J28" i="5" s="1"/>
  <c r="K27" i="5"/>
  <c r="L27" i="5"/>
  <c r="L28" i="5" s="1"/>
  <c r="M27" i="5"/>
  <c r="N27" i="5"/>
  <c r="O27" i="5"/>
  <c r="P27" i="5"/>
  <c r="Q27" i="5"/>
  <c r="R27" i="5"/>
  <c r="S27" i="5"/>
  <c r="T27" i="5"/>
  <c r="C27" i="5"/>
  <c r="K9" i="3"/>
  <c r="B15" i="6"/>
  <c r="B16" i="6"/>
  <c r="B17" i="6"/>
  <c r="B18" i="6"/>
  <c r="B19" i="6"/>
  <c r="B20" i="6"/>
  <c r="B21" i="6"/>
  <c r="B22" i="6"/>
  <c r="B23" i="6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C20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C17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C14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C11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C5" i="5"/>
  <c r="Y11" i="4"/>
  <c r="L15" i="3"/>
  <c r="L21" i="3"/>
  <c r="L18" i="3"/>
  <c r="K15" i="3"/>
  <c r="K21" i="3"/>
  <c r="K18" i="3"/>
  <c r="L9" i="3"/>
  <c r="L5" i="3"/>
  <c r="L7" i="3"/>
  <c r="L11" i="3"/>
  <c r="L13" i="3"/>
  <c r="L3" i="3"/>
  <c r="K13" i="3"/>
  <c r="K5" i="3"/>
  <c r="K7" i="3"/>
  <c r="K11" i="3"/>
  <c r="K3" i="3"/>
  <c r="K28" i="5" l="1"/>
  <c r="L33" i="5"/>
  <c r="K33" i="5"/>
  <c r="H28" i="5"/>
  <c r="J33" i="5"/>
  <c r="G28" i="5"/>
  <c r="I33" i="5"/>
  <c r="C33" i="5"/>
  <c r="E33" i="5"/>
  <c r="G38" i="5"/>
  <c r="T33" i="5"/>
  <c r="D33" i="5"/>
  <c r="F38" i="5"/>
  <c r="C38" i="5"/>
  <c r="E38" i="5"/>
  <c r="T38" i="5"/>
  <c r="D38" i="5"/>
  <c r="R28" i="5"/>
  <c r="Q28" i="5"/>
  <c r="S33" i="5"/>
  <c r="P28" i="5"/>
  <c r="R33" i="5"/>
  <c r="O28" i="5"/>
  <c r="Q33" i="5"/>
  <c r="S38" i="5"/>
  <c r="N28" i="5"/>
  <c r="P33" i="5"/>
  <c r="R38" i="5"/>
  <c r="S28" i="5"/>
  <c r="M28" i="5"/>
  <c r="O33" i="5"/>
  <c r="Q38" i="5"/>
  <c r="P38" i="5"/>
  <c r="O38" i="5"/>
  <c r="N38" i="5"/>
  <c r="M38" i="5"/>
  <c r="L38" i="5"/>
  <c r="K38" i="5"/>
  <c r="F28" i="5"/>
  <c r="H33" i="5"/>
  <c r="J38" i="5"/>
  <c r="C28" i="5"/>
  <c r="E28" i="5"/>
  <c r="G33" i="5"/>
  <c r="I38" i="5"/>
  <c r="T28" i="5"/>
  <c r="D28" i="5"/>
  <c r="F33" i="5"/>
  <c r="H38" i="5"/>
</calcChain>
</file>

<file path=xl/sharedStrings.xml><?xml version="1.0" encoding="utf-8"?>
<sst xmlns="http://schemas.openxmlformats.org/spreadsheetml/2006/main" count="939" uniqueCount="210">
  <si>
    <t>R 1</t>
  </si>
  <si>
    <t xml:space="preserve">71  Ga  [ He ] </t>
  </si>
  <si>
    <t>QC2</t>
  </si>
  <si>
    <t>EX22.d</t>
  </si>
  <si>
    <t>EX22</t>
  </si>
  <si>
    <t>SQStd</t>
  </si>
  <si>
    <t>MD7</t>
  </si>
  <si>
    <t>EX11.d</t>
  </si>
  <si>
    <t xml:space="preserve">193  Ir ( ISTD )  [ H2 ] </t>
  </si>
  <si>
    <t>MD6.d</t>
  </si>
  <si>
    <t>EX13</t>
  </si>
  <si>
    <t>EX11</t>
  </si>
  <si>
    <t>Ex21</t>
  </si>
  <si>
    <t>5.d</t>
  </si>
  <si>
    <t xml:space="preserve">24  Mg  [ He ] </t>
  </si>
  <si>
    <t>MD11</t>
  </si>
  <si>
    <t>EX31</t>
  </si>
  <si>
    <t xml:space="preserve">43  Ca  [ He ] </t>
  </si>
  <si>
    <t xml:space="preserve">89  Y ( ISTD )  [ He ] </t>
  </si>
  <si>
    <t>Spike</t>
  </si>
  <si>
    <t>MD11.d</t>
  </si>
  <si>
    <t xml:space="preserve">55  Mn  [ He ] </t>
  </si>
  <si>
    <t xml:space="preserve">44  Ca  [ He ] </t>
  </si>
  <si>
    <t>2</t>
  </si>
  <si>
    <t>R5.d</t>
  </si>
  <si>
    <t>200.d</t>
  </si>
  <si>
    <t>MD8</t>
  </si>
  <si>
    <t>MD1</t>
  </si>
  <si>
    <t>Sample</t>
  </si>
  <si>
    <t>Level</t>
  </si>
  <si>
    <t>SQBlk</t>
  </si>
  <si>
    <t>EX31.d</t>
  </si>
  <si>
    <t>&lt;0.000</t>
  </si>
  <si>
    <t xml:space="preserve">137  Ba  [ He ] </t>
  </si>
  <si>
    <t>MD6</t>
  </si>
  <si>
    <t>MD12</t>
  </si>
  <si>
    <t>N/A</t>
  </si>
  <si>
    <t>DriftChk</t>
  </si>
  <si>
    <t>FQBlk</t>
  </si>
  <si>
    <t>IsoStd</t>
  </si>
  <si>
    <t>100</t>
  </si>
  <si>
    <t>Bkgnd</t>
  </si>
  <si>
    <t>CalBlk</t>
  </si>
  <si>
    <t>R7</t>
  </si>
  <si>
    <t>MD10.d</t>
  </si>
  <si>
    <t>SQISTD</t>
  </si>
  <si>
    <t>R6</t>
  </si>
  <si>
    <t xml:space="preserve">45  Sc ( ISTD )  [ He ] </t>
  </si>
  <si>
    <t>MD7.d</t>
  </si>
  <si>
    <t>Conc. [ ug/l ]</t>
  </si>
  <si>
    <t>Data File</t>
  </si>
  <si>
    <t>Ex21.d</t>
  </si>
  <si>
    <t xml:space="preserve">60  Ni  [ He ] </t>
  </si>
  <si>
    <t xml:space="preserve">39  K  [ He ] </t>
  </si>
  <si>
    <t>BlkVrfy</t>
  </si>
  <si>
    <t>QC4</t>
  </si>
  <si>
    <t>500.d</t>
  </si>
  <si>
    <t>MD9</t>
  </si>
  <si>
    <t>3</t>
  </si>
  <si>
    <t>QC3</t>
  </si>
  <si>
    <t>DilStd</t>
  </si>
  <si>
    <t>R5</t>
  </si>
  <si>
    <t>Type</t>
  </si>
  <si>
    <t>R 1.d</t>
  </si>
  <si>
    <t>MD8.d</t>
  </si>
  <si>
    <t>500</t>
  </si>
  <si>
    <t>EX23.d</t>
  </si>
  <si>
    <t>Acq. Date-Time</t>
  </si>
  <si>
    <t>MD10</t>
  </si>
  <si>
    <t>MD2.d</t>
  </si>
  <si>
    <t>EX32</t>
  </si>
  <si>
    <t xml:space="preserve">59  Co  [ He ] </t>
  </si>
  <si>
    <t>MD3.d</t>
  </si>
  <si>
    <t>MD12.d</t>
  </si>
  <si>
    <t>MD1.d</t>
  </si>
  <si>
    <t>CalStd</t>
  </si>
  <si>
    <t xml:space="preserve">27  Al  [ He ] </t>
  </si>
  <si>
    <t>MD2</t>
  </si>
  <si>
    <t xml:space="preserve">66  Zn  [ He ] </t>
  </si>
  <si>
    <t xml:space="preserve">63  Cu  [ He ] </t>
  </si>
  <si>
    <t xml:space="preserve">89  Y ( ISTD )  [ H2 ] </t>
  </si>
  <si>
    <t>EX13.d</t>
  </si>
  <si>
    <t>MD3</t>
  </si>
  <si>
    <t xml:space="preserve">45  Sc ( ISTD )  [ H2 ] </t>
  </si>
  <si>
    <t>R8.d</t>
  </si>
  <si>
    <t>MD5.d</t>
  </si>
  <si>
    <t>R7.d</t>
  </si>
  <si>
    <t xml:space="preserve">56  Fe  [ H2 ] </t>
  </si>
  <si>
    <t>50.d</t>
  </si>
  <si>
    <t>1</t>
  </si>
  <si>
    <t>QC1</t>
  </si>
  <si>
    <t>100.d</t>
  </si>
  <si>
    <t xml:space="preserve">111  Cd  [ He ] </t>
  </si>
  <si>
    <t>0ppb.d</t>
  </si>
  <si>
    <t>MD9.d</t>
  </si>
  <si>
    <t xml:space="preserve">52  Cr  [ He ] </t>
  </si>
  <si>
    <t>MD4.d</t>
  </si>
  <si>
    <t>EX12.d</t>
  </si>
  <si>
    <t>MD5</t>
  </si>
  <si>
    <t>200</t>
  </si>
  <si>
    <t>EX23</t>
  </si>
  <si>
    <t>CPS RSD</t>
  </si>
  <si>
    <t>CPS</t>
  </si>
  <si>
    <t>QC5</t>
  </si>
  <si>
    <t>50</t>
  </si>
  <si>
    <t>Spike Ref</t>
  </si>
  <si>
    <t>Sample Name</t>
  </si>
  <si>
    <t>R6.d</t>
  </si>
  <si>
    <t>EX12</t>
  </si>
  <si>
    <t>CICSpike</t>
  </si>
  <si>
    <t/>
  </si>
  <si>
    <t xml:space="preserve">193  Ir ( ISTD )  [ He ] </t>
  </si>
  <si>
    <t>MD4</t>
  </si>
  <si>
    <t xml:space="preserve">23  Na  [ He ] </t>
  </si>
  <si>
    <t>0ppb</t>
  </si>
  <si>
    <t>R8</t>
  </si>
  <si>
    <t>4</t>
  </si>
  <si>
    <t>EX32.d</t>
  </si>
  <si>
    <t>EX33</t>
  </si>
  <si>
    <t>6</t>
  </si>
  <si>
    <t>EX33.d</t>
  </si>
  <si>
    <t>5</t>
  </si>
  <si>
    <t xml:space="preserve">208  Pb  [ He ] </t>
  </si>
  <si>
    <t>Rjct</t>
  </si>
  <si>
    <t>MD1-1000[1]</t>
  </si>
  <si>
    <t>MD2-1000[2]</t>
  </si>
  <si>
    <t>MD3-125[1]</t>
  </si>
  <si>
    <t>MD5-75[2]</t>
  </si>
  <si>
    <t>MD6-UBH[2]</t>
  </si>
  <si>
    <t>MD7-600[2]</t>
  </si>
  <si>
    <t>MD8-30[1]</t>
  </si>
  <si>
    <t>MD9-600[1]</t>
  </si>
  <si>
    <t xml:space="preserve"> MD10-75[1]</t>
  </si>
  <si>
    <t>MD11-30[2]</t>
  </si>
  <si>
    <t>MD12-UBH[1]</t>
  </si>
  <si>
    <t>UBH</t>
  </si>
  <si>
    <t>MD4-125[2]</t>
  </si>
  <si>
    <t>ID</t>
  </si>
  <si>
    <t>Fraction</t>
  </si>
  <si>
    <r>
      <t>1000</t>
    </r>
    <r>
      <rPr>
        <sz val="11"/>
        <color theme="1"/>
        <rFont val="Aptos Narrow"/>
        <family val="2"/>
      </rPr>
      <t>µ</t>
    </r>
    <r>
      <rPr>
        <sz val="11"/>
        <color theme="1"/>
        <rFont val="Calibri"/>
        <family val="2"/>
      </rPr>
      <t>m</t>
    </r>
  </si>
  <si>
    <t>1000µm</t>
  </si>
  <si>
    <t>600µm</t>
  </si>
  <si>
    <t>125µm</t>
  </si>
  <si>
    <t>75µm</t>
  </si>
  <si>
    <t>30µm</t>
  </si>
  <si>
    <t>Mean</t>
  </si>
  <si>
    <t>SD</t>
  </si>
  <si>
    <t>60°</t>
  </si>
  <si>
    <t>90°</t>
  </si>
  <si>
    <t>25°</t>
  </si>
  <si>
    <t>EX31 -25 degrees</t>
  </si>
  <si>
    <t>EX11 - 60 degrees</t>
  </si>
  <si>
    <t>Ex21 - 90 degrees</t>
  </si>
  <si>
    <t>MD12-UBH pre [1]</t>
  </si>
  <si>
    <t>MD6-UBH pre[2]</t>
  </si>
  <si>
    <t>MD10-75[1]</t>
  </si>
  <si>
    <t>107 Ag [He]</t>
  </si>
  <si>
    <t>Av 125um</t>
  </si>
  <si>
    <t>Av 1000um</t>
  </si>
  <si>
    <t>Av 75um</t>
  </si>
  <si>
    <t>Av 600um</t>
  </si>
  <si>
    <t>Av 30um</t>
  </si>
  <si>
    <t>Av UBH pre um</t>
  </si>
  <si>
    <t>Mean Cu (µg/L)</t>
  </si>
  <si>
    <t>SD (µg/L)</t>
  </si>
  <si>
    <t>RSD (%)</t>
  </si>
  <si>
    <t>&gt;1000 µm</t>
  </si>
  <si>
    <t>600 µm</t>
  </si>
  <si>
    <t>125 µm</t>
  </si>
  <si>
    <t>75 µm</t>
  </si>
  <si>
    <t>30 µm</t>
  </si>
  <si>
    <t>UBH (unsieved)</t>
  </si>
  <si>
    <t>Element</t>
  </si>
  <si>
    <t>Si</t>
  </si>
  <si>
    <t>Ca</t>
  </si>
  <si>
    <t>Na</t>
  </si>
  <si>
    <t>Cu</t>
  </si>
  <si>
    <t>Al</t>
  </si>
  <si>
    <t>Sn</t>
  </si>
  <si>
    <t>Fe</t>
  </si>
  <si>
    <t>Pb</t>
  </si>
  <si>
    <t>Ag</t>
  </si>
  <si>
    <t>Concentration (wt.%)</t>
  </si>
  <si>
    <t>Zn</t>
  </si>
  <si>
    <t>Av 25°</t>
  </si>
  <si>
    <t>Av 60°</t>
  </si>
  <si>
    <t>Av 90°</t>
  </si>
  <si>
    <t>25° yield</t>
  </si>
  <si>
    <t>60° yield</t>
  </si>
  <si>
    <t>90° yield</t>
  </si>
  <si>
    <t>Temperature</t>
  </si>
  <si>
    <t>Replicate</t>
  </si>
  <si>
    <t>Measured Cu (µg/L)</t>
  </si>
  <si>
    <t>Actual Cu (µg/L) ×10,000</t>
  </si>
  <si>
    <t>Cu Extracted (µg)</t>
  </si>
  <si>
    <t>Yield (%)</t>
  </si>
  <si>
    <t>25°C</t>
  </si>
  <si>
    <t>60°C</t>
  </si>
  <si>
    <t>90°C</t>
  </si>
  <si>
    <t>EX21</t>
  </si>
  <si>
    <t>f</t>
  </si>
  <si>
    <t>Mg</t>
  </si>
  <si>
    <t>K</t>
  </si>
  <si>
    <t>Cr</t>
  </si>
  <si>
    <t>Mn</t>
  </si>
  <si>
    <t>Co</t>
  </si>
  <si>
    <t>Ni</t>
  </si>
  <si>
    <t>Ga</t>
  </si>
  <si>
    <t>Cd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</si>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</sst>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rgb="FF000000"/>
      <name val="Microsoft Sans Serif"/>
      <family val="2"/>
    </font>
    <font>
      <sz val="9"/>
      <name val="Microsoft Sans Serif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b/>
      <sz val="9"/>
      <color rgb="FF000000"/>
      <name val="Microsoft Sans Serif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2" fillId="3" borderId="2" xfId="0" applyFont="1" applyFill="1" applyBorder="1" applyAlignment="1">
      <alignment horizontal="right" vertical="top"/>
    </xf>
    <xf numFmtId="22" fontId="2" fillId="0" borderId="2" xfId="0" applyNumberFormat="1" applyFont="1" applyBorder="1" applyAlignment="1">
      <alignment horizontal="left" vertical="top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top"/>
    </xf>
    <xf numFmtId="0" fontId="2" fillId="4" borderId="2" xfId="0" applyFont="1" applyFill="1" applyBorder="1" applyAlignment="1">
      <alignment horizontal="left" vertical="top"/>
    </xf>
    <xf numFmtId="22" fontId="2" fillId="4" borderId="2" xfId="0" applyNumberFormat="1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top"/>
    </xf>
    <xf numFmtId="0" fontId="0" fillId="4" borderId="0" xfId="0" applyFill="1"/>
    <xf numFmtId="0" fontId="2" fillId="5" borderId="2" xfId="0" applyFont="1" applyFill="1" applyBorder="1" applyAlignment="1">
      <alignment horizontal="left" vertical="top"/>
    </xf>
    <xf numFmtId="22" fontId="2" fillId="5" borderId="2" xfId="0" applyNumberFormat="1" applyFont="1" applyFill="1" applyBorder="1" applyAlignment="1">
      <alignment horizontal="left" vertical="top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right" vertical="top"/>
    </xf>
    <xf numFmtId="0" fontId="0" fillId="5" borderId="0" xfId="0" applyFill="1"/>
    <xf numFmtId="0" fontId="2" fillId="6" borderId="2" xfId="0" applyFont="1" applyFill="1" applyBorder="1" applyAlignment="1">
      <alignment horizontal="left" vertical="top"/>
    </xf>
    <xf numFmtId="22" fontId="2" fillId="6" borderId="2" xfId="0" applyNumberFormat="1" applyFont="1" applyFill="1" applyBorder="1" applyAlignment="1">
      <alignment horizontal="left" vertical="top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right" vertical="top"/>
    </xf>
    <xf numFmtId="0" fontId="0" fillId="6" borderId="0" xfId="0" applyFill="1"/>
    <xf numFmtId="49" fontId="0" fillId="0" borderId="0" xfId="0" applyNumberFormat="1"/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49" fontId="3" fillId="0" borderId="0" xfId="0" applyNumberFormat="1" applyFont="1"/>
    <xf numFmtId="0" fontId="6" fillId="2" borderId="5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top"/>
    </xf>
    <xf numFmtId="0" fontId="2" fillId="7" borderId="2" xfId="0" applyFont="1" applyFill="1" applyBorder="1" applyAlignment="1">
      <alignment horizontal="right" vertical="top"/>
    </xf>
    <xf numFmtId="2" fontId="2" fillId="7" borderId="2" xfId="0" applyNumberFormat="1" applyFont="1" applyFill="1" applyBorder="1" applyAlignment="1">
      <alignment horizontal="right" vertical="top"/>
    </xf>
    <xf numFmtId="0" fontId="2" fillId="7" borderId="5" xfId="0" applyFont="1" applyFill="1" applyBorder="1" applyAlignment="1">
      <alignment horizontal="left" vertical="top"/>
    </xf>
    <xf numFmtId="0" fontId="0" fillId="7" borderId="0" xfId="0" applyFill="1"/>
    <xf numFmtId="2" fontId="0" fillId="0" borderId="0" xfId="0" applyNumberFormat="1"/>
    <xf numFmtId="0" fontId="3" fillId="0" borderId="0" xfId="0" applyFont="1"/>
    <xf numFmtId="0" fontId="7" fillId="0" borderId="2" xfId="0" applyFont="1" applyBorder="1"/>
    <xf numFmtId="0" fontId="8" fillId="0" borderId="2" xfId="0" applyFont="1" applyBorder="1"/>
    <xf numFmtId="2" fontId="8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0" fillId="0" borderId="6" xfId="0" applyBorder="1" applyAlignment="1">
      <alignment horizontal="center" vertical="center"/>
    </xf>
    <xf numFmtId="3" fontId="0" fillId="0" borderId="0" xfId="0" applyNumberFormat="1"/>
    <xf numFmtId="10" fontId="0" fillId="0" borderId="0" xfId="0" applyNumberFormat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Cu Concentration Across</a:t>
            </a:r>
            <a:r>
              <a:rPr lang="en-GB" baseline="0"/>
              <a:t> Sieve Size Fractions (ICP-MS)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0"/>
                  <c:y val="-0.10844304093316151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E39-4074-8380-CE4F19D906C8}"/>
                </c:ext>
              </c:extLst>
            </c:dLbl>
            <c:dLbl>
              <c:idx val="3"/>
              <c:layout>
                <c:manualLayout>
                  <c:x val="-7.3294257752136094E-17"/>
                  <c:y val="-7.436094235416790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39-4074-8380-CE4F19D906C8}"/>
                </c:ext>
              </c:extLst>
            </c:dLbl>
            <c:dLbl>
              <c:idx val="4"/>
              <c:layout>
                <c:manualLayout>
                  <c:x val="0"/>
                  <c:y val="-2.47869807847226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39-4074-8380-CE4F19D906C8}"/>
                </c:ext>
              </c:extLst>
            </c:dLbl>
            <c:dLbl>
              <c:idx val="5"/>
              <c:layout>
                <c:manualLayout>
                  <c:x val="-1.9989573941906207E-3"/>
                  <c:y val="-3.718047117708395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39-4074-8380-CE4F19D906C8}"/>
                </c:ext>
              </c:extLst>
            </c:dLbl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(Cu!$L$3,Cu!$L$5,Cu!$L$7,Cu!$L$9,Cu!$L$11,Cu!$L$13)</c:f>
                <c:numCache>
                  <c:formatCode>General</c:formatCode>
                  <c:ptCount val="6"/>
                  <c:pt idx="0">
                    <c:v>3.7519736430187449</c:v>
                  </c:pt>
                  <c:pt idx="1">
                    <c:v>2.2143865202812432</c:v>
                  </c:pt>
                  <c:pt idx="2">
                    <c:v>271.33989695578197</c:v>
                  </c:pt>
                  <c:pt idx="3">
                    <c:v>195.79732351284656</c:v>
                  </c:pt>
                  <c:pt idx="4">
                    <c:v>75.439249872766396</c:v>
                  </c:pt>
                  <c:pt idx="5">
                    <c:v>98.212825265415191</c:v>
                  </c:pt>
                </c:numCache>
              </c:numRef>
            </c:plus>
            <c:minus>
              <c:numRef>
                <c:f>(Cu!$L$3,Cu!$L$5,Cu!$L$7,Cu!$L$9,Cu!$L$11,Cu!$L$13)</c:f>
                <c:numCache>
                  <c:formatCode>General</c:formatCode>
                  <c:ptCount val="6"/>
                  <c:pt idx="0">
                    <c:v>3.7519736430187449</c:v>
                  </c:pt>
                  <c:pt idx="1">
                    <c:v>2.2143865202812432</c:v>
                  </c:pt>
                  <c:pt idx="2">
                    <c:v>271.33989695578197</c:v>
                  </c:pt>
                  <c:pt idx="3">
                    <c:v>195.79732351284656</c:v>
                  </c:pt>
                  <c:pt idx="4">
                    <c:v>75.439249872766396</c:v>
                  </c:pt>
                  <c:pt idx="5">
                    <c:v>98.212825265415191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(Cu!$J$3,Cu!$J$5,Cu!$J$7,Cu!$J$9,Cu!$J$11,Cu!$J$13)</c:f>
              <c:strCache>
                <c:ptCount val="6"/>
                <c:pt idx="0">
                  <c:v>1000µm</c:v>
                </c:pt>
                <c:pt idx="1">
                  <c:v>600µm</c:v>
                </c:pt>
                <c:pt idx="2">
                  <c:v>125µm</c:v>
                </c:pt>
                <c:pt idx="3">
                  <c:v>75µm</c:v>
                </c:pt>
                <c:pt idx="4">
                  <c:v>30µm</c:v>
                </c:pt>
                <c:pt idx="5">
                  <c:v>UBH</c:v>
                </c:pt>
              </c:strCache>
            </c:strRef>
          </c:cat>
          <c:val>
            <c:numRef>
              <c:f>(Cu!$K$3,Cu!$K$5,Cu!$K$7,Cu!$K$9,Cu!$K$11,Cu!$K$13)</c:f>
              <c:numCache>
                <c:formatCode>General</c:formatCode>
                <c:ptCount val="6"/>
                <c:pt idx="0">
                  <c:v>30.583895740614249</c:v>
                </c:pt>
                <c:pt idx="1">
                  <c:v>31.119031452690248</c:v>
                </c:pt>
                <c:pt idx="2">
                  <c:v>399.46839823131154</c:v>
                </c:pt>
                <c:pt idx="3">
                  <c:v>1417.96649497618</c:v>
                </c:pt>
                <c:pt idx="4">
                  <c:v>768.81808526605448</c:v>
                </c:pt>
                <c:pt idx="5">
                  <c:v>148.97879965452944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39-4074-8380-CE4F19D906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0446447"/>
        <c:axId val="340446927"/>
      </c:barChart>
      <c:catAx>
        <c:axId val="340446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Sieve Fraction (µm)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0446927"/>
        <c:crosses val="autoZero"/>
        <c:auto val="1"/>
        <c:lblAlgn val="ctr"/>
        <c:lblOffset val="100"/>
        <c:noMultiLvlLbl val="0"/>
      </c:catAx>
      <c:valAx>
        <c:axId val="34044692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Cu Concentration (µg/L)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044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[Hmim][HSO4] Temperature Variation Cu Concentration 24hr Leach</a:t>
            </a:r>
          </a:p>
        </c:rich>
      </c:tx>
      <c:layout>
        <c:manualLayout>
          <c:xMode val="edge"/>
          <c:yMode val="edge"/>
          <c:x val="0.16876470153141934"/>
          <c:y val="2.4268915968400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5.397476892052056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B3-45E3-9196-CF83AC33C8E7}"/>
                </c:ext>
              </c:extLst>
            </c:dLbl>
            <c:dLbl>
              <c:idx val="1"/>
              <c:layout>
                <c:manualLayout>
                  <c:x val="1.9256528190495182E-3"/>
                  <c:y val="-2.02405383451952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1B3-45E3-9196-CF83AC33C8E7}"/>
                </c:ext>
              </c:extLst>
            </c:dLbl>
            <c:dLbl>
              <c:idx val="2"/>
              <c:layout>
                <c:manualLayout>
                  <c:x val="-1.4121290876006434E-16"/>
                  <c:y val="-3.71076536328578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B3-45E3-9196-CF83AC33C8E7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Cu!$M$15</c:f>
                <c:numCache>
                  <c:formatCode>General</c:formatCode>
                  <c:ptCount val="1"/>
                  <c:pt idx="0">
                    <c:v>11.267989474889642</c:v>
                  </c:pt>
                </c:numCache>
              </c:numRef>
            </c:plus>
            <c:minus>
              <c:numRef>
                <c:f>Cu!$M$15</c:f>
                <c:numCache>
                  <c:formatCode>General</c:formatCode>
                  <c:ptCount val="1"/>
                  <c:pt idx="0">
                    <c:v>11.267989474889642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(Cu!$J$15,Cu!$J$18,Cu!$J$21)</c:f>
              <c:strCache>
                <c:ptCount val="3"/>
                <c:pt idx="0">
                  <c:v>25°</c:v>
                </c:pt>
                <c:pt idx="1">
                  <c:v>60°</c:v>
                </c:pt>
                <c:pt idx="2">
                  <c:v>90°</c:v>
                </c:pt>
              </c:strCache>
            </c:strRef>
          </c:cat>
          <c:val>
            <c:numRef>
              <c:f>(Cu!$K$15,Cu!$K$18,Cu!$K$21)</c:f>
              <c:numCache>
                <c:formatCode>General</c:formatCode>
                <c:ptCount val="3"/>
                <c:pt idx="0">
                  <c:v>142.97184106968433</c:v>
                </c:pt>
                <c:pt idx="1">
                  <c:v>82.625376303031246</c:v>
                </c:pt>
                <c:pt idx="2">
                  <c:v>59.52184448902387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3-45E3-9196-CF83AC33C8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8441695"/>
        <c:axId val="988444095"/>
      </c:barChart>
      <c:catAx>
        <c:axId val="988441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8444095"/>
        <c:crosses val="autoZero"/>
        <c:auto val="1"/>
        <c:lblAlgn val="ctr"/>
        <c:lblOffset val="100"/>
        <c:noMultiLvlLbl val="0"/>
      </c:catAx>
      <c:valAx>
        <c:axId val="98844409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Cu Concentration (µg/L)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844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[Hmim][HSO4] Temperature Variation Cu Concentration 24hr Leach</a:t>
            </a:r>
          </a:p>
        </c:rich>
      </c:tx>
      <c:layout>
        <c:manualLayout>
          <c:xMode val="edge"/>
          <c:yMode val="edge"/>
          <c:x val="0.16876470153141934"/>
          <c:y val="2.42689159684007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5.397476892052056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A0-4A28-99FB-BBF563F4F5A8}"/>
                </c:ext>
              </c:extLst>
            </c:dLbl>
            <c:dLbl>
              <c:idx val="1"/>
              <c:layout>
                <c:manualLayout>
                  <c:x val="1.9256528190495182E-3"/>
                  <c:y val="-2.02405383451952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FA0-4A28-99FB-BBF563F4F5A8}"/>
                </c:ext>
              </c:extLst>
            </c:dLbl>
            <c:dLbl>
              <c:idx val="2"/>
              <c:layout>
                <c:manualLayout>
                  <c:x val="-1.4121290876006434E-16"/>
                  <c:y val="-3.710765363285788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FA0-4A28-99FB-BBF563F4F5A8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cust"/>
            <c:noEndCap val="0"/>
            <c:plus>
              <c:numRef>
                <c:f>(Cu!$L$15,Cu!$L$18,Cu!$L$21)</c:f>
                <c:numCache>
                  <c:formatCode>General</c:formatCode>
                  <c:ptCount val="3"/>
                  <c:pt idx="0">
                    <c:v>16.110052003787978</c:v>
                  </c:pt>
                  <c:pt idx="1">
                    <c:v>7.5730115662079331</c:v>
                  </c:pt>
                  <c:pt idx="2">
                    <c:v>11.576852671975297</c:v>
                  </c:pt>
                </c:numCache>
              </c:numRef>
            </c:plus>
            <c:minus>
              <c:numRef>
                <c:f>(Cu!$L$15,Cu!$L$18,Cu!$L$21)</c:f>
                <c:numCache>
                  <c:formatCode>General</c:formatCode>
                  <c:ptCount val="3"/>
                  <c:pt idx="0">
                    <c:v>16.110052003787978</c:v>
                  </c:pt>
                  <c:pt idx="1">
                    <c:v>7.5730115662079331</c:v>
                  </c:pt>
                  <c:pt idx="2">
                    <c:v>11.576852671975297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(Cu!$J$15,Cu!$J$18,Cu!$J$21)</c:f>
              <c:strCache>
                <c:ptCount val="3"/>
                <c:pt idx="0">
                  <c:v>25°</c:v>
                </c:pt>
                <c:pt idx="1">
                  <c:v>60°</c:v>
                </c:pt>
                <c:pt idx="2">
                  <c:v>90°</c:v>
                </c:pt>
              </c:strCache>
            </c:strRef>
          </c:cat>
          <c:val>
            <c:numRef>
              <c:f>(Cu!$K$15,Cu!$K$18,Cu!$K$21)</c:f>
              <c:numCache>
                <c:formatCode>General</c:formatCode>
                <c:ptCount val="3"/>
                <c:pt idx="0">
                  <c:v>142.97184106968433</c:v>
                </c:pt>
                <c:pt idx="1">
                  <c:v>82.625376303031246</c:v>
                </c:pt>
                <c:pt idx="2">
                  <c:v>59.52184448902387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A0-4A28-99FB-BBF563F4F5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88441695"/>
        <c:axId val="988444095"/>
      </c:barChart>
      <c:catAx>
        <c:axId val="988441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8444095"/>
        <c:crosses val="autoZero"/>
        <c:auto val="1"/>
        <c:lblAlgn val="ctr"/>
        <c:lblOffset val="100"/>
        <c:noMultiLvlLbl val="0"/>
      </c:catAx>
      <c:valAx>
        <c:axId val="98844409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/>
                  <a:t>Cu Concentration (µg/L)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88441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657214781237841E-2"/>
          <c:y val="2.2125340599455041E-2"/>
          <c:w val="0.9063427852187621"/>
          <c:h val="0.6978623584858432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'Stacked bar'!$A$24</c:f>
              <c:strCache>
                <c:ptCount val="1"/>
                <c:pt idx="0">
                  <c:v>Av 1000um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'Stacked bar'!$B$23:$S$23</c:f>
              <c:strCache>
                <c:ptCount val="18"/>
                <c:pt idx="0">
                  <c:v>Na</c:v>
                </c:pt>
                <c:pt idx="1">
                  <c:v>Mg</c:v>
                </c:pt>
                <c:pt idx="2">
                  <c:v>Al</c:v>
                </c:pt>
                <c:pt idx="3">
                  <c:v>K</c:v>
                </c:pt>
                <c:pt idx="4">
                  <c:v>Ca</c:v>
                </c:pt>
                <c:pt idx="5">
                  <c:v>Ca</c:v>
                </c:pt>
                <c:pt idx="6">
                  <c:v>Cr</c:v>
                </c:pt>
                <c:pt idx="7">
                  <c:v>Mn</c:v>
                </c:pt>
                <c:pt idx="8">
                  <c:v>Fe</c:v>
                </c:pt>
                <c:pt idx="9">
                  <c:v>Co</c:v>
                </c:pt>
                <c:pt idx="10">
                  <c:v>Ni</c:v>
                </c:pt>
                <c:pt idx="11">
                  <c:v>Cu</c:v>
                </c:pt>
                <c:pt idx="12">
                  <c:v>Zn</c:v>
                </c:pt>
                <c:pt idx="13">
                  <c:v>Ga</c:v>
                </c:pt>
                <c:pt idx="14">
                  <c:v>Ag</c:v>
                </c:pt>
                <c:pt idx="15">
                  <c:v>Cd</c:v>
                </c:pt>
                <c:pt idx="16">
                  <c:v>Ba</c:v>
                </c:pt>
                <c:pt idx="17">
                  <c:v>Pb</c:v>
                </c:pt>
              </c:strCache>
            </c:strRef>
          </c:cat>
          <c:val>
            <c:numRef>
              <c:f>'Stacked bar'!$B$24:$S$24</c:f>
              <c:numCache>
                <c:formatCode>General</c:formatCode>
                <c:ptCount val="18"/>
                <c:pt idx="0">
                  <c:v>418.93737581532503</c:v>
                </c:pt>
                <c:pt idx="1">
                  <c:v>97.180323202934545</c:v>
                </c:pt>
                <c:pt idx="2">
                  <c:v>489.85405532795755</c:v>
                </c:pt>
                <c:pt idx="3">
                  <c:v>167.15692979731651</c:v>
                </c:pt>
                <c:pt idx="4">
                  <c:v>54.078145833547296</c:v>
                </c:pt>
                <c:pt idx="5">
                  <c:v>85.083810747932205</c:v>
                </c:pt>
                <c:pt idx="6">
                  <c:v>6.9442378395381699</c:v>
                </c:pt>
                <c:pt idx="7">
                  <c:v>1.2699200204025329</c:v>
                </c:pt>
                <c:pt idx="8">
                  <c:v>82.943269660585102</c:v>
                </c:pt>
                <c:pt idx="9">
                  <c:v>0.17075376816199961</c:v>
                </c:pt>
                <c:pt idx="10">
                  <c:v>6.2090269610459501</c:v>
                </c:pt>
                <c:pt idx="11">
                  <c:v>30.583895740614249</c:v>
                </c:pt>
                <c:pt idx="12">
                  <c:v>15.031514944173452</c:v>
                </c:pt>
                <c:pt idx="13">
                  <c:v>0.11854993082831125</c:v>
                </c:pt>
                <c:pt idx="14">
                  <c:v>4.6419999999999995</c:v>
                </c:pt>
                <c:pt idx="15">
                  <c:v>2.2866560248842052E-2</c:v>
                </c:pt>
                <c:pt idx="16">
                  <c:v>3.0298478950935399</c:v>
                </c:pt>
                <c:pt idx="17">
                  <c:v>55.730859483671949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5-4B9C-8BF7-358C1E95E323}"/>
            </c:ext>
          </c:extLst>
        </c:ser>
        <c:ser>
          <c:idx val="1"/>
          <c:order val="1"/>
          <c:tx>
            <c:strRef>
              <c:f>'Stacked bar'!$A$25</c:f>
              <c:strCache>
                <c:ptCount val="1"/>
                <c:pt idx="0">
                  <c:v>Av 125um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'Stacked bar'!$B$23:$S$23</c:f>
              <c:strCache>
                <c:ptCount val="18"/>
                <c:pt idx="0">
                  <c:v>Na</c:v>
                </c:pt>
                <c:pt idx="1">
                  <c:v>Mg</c:v>
                </c:pt>
                <c:pt idx="2">
                  <c:v>Al</c:v>
                </c:pt>
                <c:pt idx="3">
                  <c:v>K</c:v>
                </c:pt>
                <c:pt idx="4">
                  <c:v>Ca</c:v>
                </c:pt>
                <c:pt idx="5">
                  <c:v>Ca</c:v>
                </c:pt>
                <c:pt idx="6">
                  <c:v>Cr</c:v>
                </c:pt>
                <c:pt idx="7">
                  <c:v>Mn</c:v>
                </c:pt>
                <c:pt idx="8">
                  <c:v>Fe</c:v>
                </c:pt>
                <c:pt idx="9">
                  <c:v>Co</c:v>
                </c:pt>
                <c:pt idx="10">
                  <c:v>Ni</c:v>
                </c:pt>
                <c:pt idx="11">
                  <c:v>Cu</c:v>
                </c:pt>
                <c:pt idx="12">
                  <c:v>Zn</c:v>
                </c:pt>
                <c:pt idx="13">
                  <c:v>Ga</c:v>
                </c:pt>
                <c:pt idx="14">
                  <c:v>Ag</c:v>
                </c:pt>
                <c:pt idx="15">
                  <c:v>Cd</c:v>
                </c:pt>
                <c:pt idx="16">
                  <c:v>Ba</c:v>
                </c:pt>
                <c:pt idx="17">
                  <c:v>Pb</c:v>
                </c:pt>
              </c:strCache>
            </c:strRef>
          </c:cat>
          <c:val>
            <c:numRef>
              <c:f>'Stacked bar'!$B$25:$S$25</c:f>
              <c:numCache>
                <c:formatCode>General</c:formatCode>
                <c:ptCount val="18"/>
                <c:pt idx="0">
                  <c:v>994.82468782834803</c:v>
                </c:pt>
                <c:pt idx="1">
                  <c:v>127.8748818642045</c:v>
                </c:pt>
                <c:pt idx="2">
                  <c:v>282.79526479753798</c:v>
                </c:pt>
                <c:pt idx="3">
                  <c:v>187.0994800157645</c:v>
                </c:pt>
                <c:pt idx="4">
                  <c:v>94.450232131414396</c:v>
                </c:pt>
                <c:pt idx="5">
                  <c:v>192.48107222424551</c:v>
                </c:pt>
                <c:pt idx="6">
                  <c:v>19.92779948099</c:v>
                </c:pt>
                <c:pt idx="7">
                  <c:v>3.3182027053823697</c:v>
                </c:pt>
                <c:pt idx="8">
                  <c:v>223.259774400335</c:v>
                </c:pt>
                <c:pt idx="9">
                  <c:v>0.25723801945358199</c:v>
                </c:pt>
                <c:pt idx="10">
                  <c:v>15.0142370473196</c:v>
                </c:pt>
                <c:pt idx="11">
                  <c:v>399.46839823131154</c:v>
                </c:pt>
                <c:pt idx="12">
                  <c:v>14.762688932836749</c:v>
                </c:pt>
                <c:pt idx="13">
                  <c:v>6.540739694813015E-2</c:v>
                </c:pt>
                <c:pt idx="14">
                  <c:v>19.239000000000001</c:v>
                </c:pt>
                <c:pt idx="15">
                  <c:v>3.6150351611630348E-2</c:v>
                </c:pt>
                <c:pt idx="16">
                  <c:v>5.1391527678952507</c:v>
                </c:pt>
                <c:pt idx="17">
                  <c:v>132.0025589958455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5-4B9C-8BF7-358C1E95E323}"/>
            </c:ext>
          </c:extLst>
        </c:ser>
        <c:ser>
          <c:idx val="2"/>
          <c:order val="2"/>
          <c:tx>
            <c:strRef>
              <c:f>'Stacked bar'!$A$26</c:f>
              <c:strCache>
                <c:ptCount val="1"/>
                <c:pt idx="0">
                  <c:v>Av 75um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'Stacked bar'!$B$23:$S$23</c:f>
              <c:strCache>
                <c:ptCount val="18"/>
                <c:pt idx="0">
                  <c:v>Na</c:v>
                </c:pt>
                <c:pt idx="1">
                  <c:v>Mg</c:v>
                </c:pt>
                <c:pt idx="2">
                  <c:v>Al</c:v>
                </c:pt>
                <c:pt idx="3">
                  <c:v>K</c:v>
                </c:pt>
                <c:pt idx="4">
                  <c:v>Ca</c:v>
                </c:pt>
                <c:pt idx="5">
                  <c:v>Ca</c:v>
                </c:pt>
                <c:pt idx="6">
                  <c:v>Cr</c:v>
                </c:pt>
                <c:pt idx="7">
                  <c:v>Mn</c:v>
                </c:pt>
                <c:pt idx="8">
                  <c:v>Fe</c:v>
                </c:pt>
                <c:pt idx="9">
                  <c:v>Co</c:v>
                </c:pt>
                <c:pt idx="10">
                  <c:v>Ni</c:v>
                </c:pt>
                <c:pt idx="11">
                  <c:v>Cu</c:v>
                </c:pt>
                <c:pt idx="12">
                  <c:v>Zn</c:v>
                </c:pt>
                <c:pt idx="13">
                  <c:v>Ga</c:v>
                </c:pt>
                <c:pt idx="14">
                  <c:v>Ag</c:v>
                </c:pt>
                <c:pt idx="15">
                  <c:v>Cd</c:v>
                </c:pt>
                <c:pt idx="16">
                  <c:v>Ba</c:v>
                </c:pt>
                <c:pt idx="17">
                  <c:v>Pb</c:v>
                </c:pt>
              </c:strCache>
            </c:strRef>
          </c:cat>
          <c:val>
            <c:numRef>
              <c:f>'Stacked bar'!$B$26:$S$26</c:f>
              <c:numCache>
                <c:formatCode>General</c:formatCode>
                <c:ptCount val="18"/>
                <c:pt idx="0">
                  <c:v>1867.6105413590949</c:v>
                </c:pt>
                <c:pt idx="1">
                  <c:v>156.81066480428598</c:v>
                </c:pt>
                <c:pt idx="2">
                  <c:v>399.29101132820301</c:v>
                </c:pt>
                <c:pt idx="3">
                  <c:v>169.19336631927001</c:v>
                </c:pt>
                <c:pt idx="4">
                  <c:v>78.891926485695592</c:v>
                </c:pt>
                <c:pt idx="5">
                  <c:v>151.17765796153049</c:v>
                </c:pt>
                <c:pt idx="6">
                  <c:v>12.06000065709495</c:v>
                </c:pt>
                <c:pt idx="7">
                  <c:v>3.1801976391579649</c:v>
                </c:pt>
                <c:pt idx="8">
                  <c:v>356.69891219798302</c:v>
                </c:pt>
                <c:pt idx="9">
                  <c:v>0.10733740066733011</c:v>
                </c:pt>
                <c:pt idx="10">
                  <c:v>3.8994128598202304</c:v>
                </c:pt>
                <c:pt idx="11">
                  <c:v>1417.96649497618</c:v>
                </c:pt>
                <c:pt idx="12">
                  <c:v>18.354916097245351</c:v>
                </c:pt>
                <c:pt idx="13">
                  <c:v>9.2571824172261091E-2</c:v>
                </c:pt>
                <c:pt idx="14">
                  <c:v>102.8095</c:v>
                </c:pt>
                <c:pt idx="15">
                  <c:v>2.2466619029413451E-2</c:v>
                </c:pt>
                <c:pt idx="16">
                  <c:v>5.2795065830759906</c:v>
                </c:pt>
                <c:pt idx="17">
                  <c:v>383.86438175923001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85-4B9C-8BF7-358C1E95E323}"/>
            </c:ext>
          </c:extLst>
        </c:ser>
        <c:ser>
          <c:idx val="3"/>
          <c:order val="3"/>
          <c:tx>
            <c:strRef>
              <c:f>'Stacked bar'!$A$27</c:f>
              <c:strCache>
                <c:ptCount val="1"/>
                <c:pt idx="0">
                  <c:v>Av UBH pre 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'Stacked bar'!$B$23:$S$23</c:f>
              <c:strCache>
                <c:ptCount val="18"/>
                <c:pt idx="0">
                  <c:v>Na</c:v>
                </c:pt>
                <c:pt idx="1">
                  <c:v>Mg</c:v>
                </c:pt>
                <c:pt idx="2">
                  <c:v>Al</c:v>
                </c:pt>
                <c:pt idx="3">
                  <c:v>K</c:v>
                </c:pt>
                <c:pt idx="4">
                  <c:v>Ca</c:v>
                </c:pt>
                <c:pt idx="5">
                  <c:v>Ca</c:v>
                </c:pt>
                <c:pt idx="6">
                  <c:v>Cr</c:v>
                </c:pt>
                <c:pt idx="7">
                  <c:v>Mn</c:v>
                </c:pt>
                <c:pt idx="8">
                  <c:v>Fe</c:v>
                </c:pt>
                <c:pt idx="9">
                  <c:v>Co</c:v>
                </c:pt>
                <c:pt idx="10">
                  <c:v>Ni</c:v>
                </c:pt>
                <c:pt idx="11">
                  <c:v>Cu</c:v>
                </c:pt>
                <c:pt idx="12">
                  <c:v>Zn</c:v>
                </c:pt>
                <c:pt idx="13">
                  <c:v>Ga</c:v>
                </c:pt>
                <c:pt idx="14">
                  <c:v>Ag</c:v>
                </c:pt>
                <c:pt idx="15">
                  <c:v>Cd</c:v>
                </c:pt>
                <c:pt idx="16">
                  <c:v>Ba</c:v>
                </c:pt>
                <c:pt idx="17">
                  <c:v>Pb</c:v>
                </c:pt>
              </c:strCache>
            </c:strRef>
          </c:cat>
          <c:val>
            <c:numRef>
              <c:f>'Stacked bar'!$B$27:$S$27</c:f>
              <c:numCache>
                <c:formatCode>General</c:formatCode>
                <c:ptCount val="18"/>
                <c:pt idx="0">
                  <c:v>769.02858794676149</c:v>
                </c:pt>
                <c:pt idx="1">
                  <c:v>107.94285356356784</c:v>
                </c:pt>
                <c:pt idx="2">
                  <c:v>142.4103578900895</c:v>
                </c:pt>
                <c:pt idx="3">
                  <c:v>106.60448490475879</c:v>
                </c:pt>
                <c:pt idx="4">
                  <c:v>71.68504043702859</c:v>
                </c:pt>
                <c:pt idx="5">
                  <c:v>130.41479321326699</c:v>
                </c:pt>
                <c:pt idx="6">
                  <c:v>11.755260709928791</c:v>
                </c:pt>
                <c:pt idx="7">
                  <c:v>1.3596414211052301</c:v>
                </c:pt>
                <c:pt idx="8">
                  <c:v>121.99923790759249</c:v>
                </c:pt>
                <c:pt idx="9">
                  <c:v>7.2216149155039003E-2</c:v>
                </c:pt>
                <c:pt idx="10">
                  <c:v>3.0709890764032668</c:v>
                </c:pt>
                <c:pt idx="11">
                  <c:v>148.97879965452944</c:v>
                </c:pt>
                <c:pt idx="12">
                  <c:v>9.9733706252798164</c:v>
                </c:pt>
                <c:pt idx="13">
                  <c:v>4.7812246397177398E-2</c:v>
                </c:pt>
                <c:pt idx="14">
                  <c:v>13.4405</c:v>
                </c:pt>
                <c:pt idx="15">
                  <c:v>1.3792887662447451E-2</c:v>
                </c:pt>
                <c:pt idx="16">
                  <c:v>3.9176763058110202</c:v>
                </c:pt>
                <c:pt idx="17">
                  <c:v>97.985379128983951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85-4B9C-8BF7-358C1E95E323}"/>
            </c:ext>
          </c:extLst>
        </c:ser>
        <c:ser>
          <c:idx val="4"/>
          <c:order val="4"/>
          <c:tx>
            <c:strRef>
              <c:f>'Stacked bar'!$A$28</c:f>
              <c:strCache>
                <c:ptCount val="1"/>
                <c:pt idx="0">
                  <c:v>Av 600um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'Stacked bar'!$B$23:$S$23</c:f>
              <c:strCache>
                <c:ptCount val="18"/>
                <c:pt idx="0">
                  <c:v>Na</c:v>
                </c:pt>
                <c:pt idx="1">
                  <c:v>Mg</c:v>
                </c:pt>
                <c:pt idx="2">
                  <c:v>Al</c:v>
                </c:pt>
                <c:pt idx="3">
                  <c:v>K</c:v>
                </c:pt>
                <c:pt idx="4">
                  <c:v>Ca</c:v>
                </c:pt>
                <c:pt idx="5">
                  <c:v>Ca</c:v>
                </c:pt>
                <c:pt idx="6">
                  <c:v>Cr</c:v>
                </c:pt>
                <c:pt idx="7">
                  <c:v>Mn</c:v>
                </c:pt>
                <c:pt idx="8">
                  <c:v>Fe</c:v>
                </c:pt>
                <c:pt idx="9">
                  <c:v>Co</c:v>
                </c:pt>
                <c:pt idx="10">
                  <c:v>Ni</c:v>
                </c:pt>
                <c:pt idx="11">
                  <c:v>Cu</c:v>
                </c:pt>
                <c:pt idx="12">
                  <c:v>Zn</c:v>
                </c:pt>
                <c:pt idx="13">
                  <c:v>Ga</c:v>
                </c:pt>
                <c:pt idx="14">
                  <c:v>Ag</c:v>
                </c:pt>
                <c:pt idx="15">
                  <c:v>Cd</c:v>
                </c:pt>
                <c:pt idx="16">
                  <c:v>Ba</c:v>
                </c:pt>
                <c:pt idx="17">
                  <c:v>Pb</c:v>
                </c:pt>
              </c:strCache>
            </c:strRef>
          </c:cat>
          <c:val>
            <c:numRef>
              <c:f>'Stacked bar'!$B$28:$S$28</c:f>
              <c:numCache>
                <c:formatCode>General</c:formatCode>
                <c:ptCount val="18"/>
                <c:pt idx="0">
                  <c:v>463.584443302252</c:v>
                </c:pt>
                <c:pt idx="1">
                  <c:v>106.85849367467651</c:v>
                </c:pt>
                <c:pt idx="2">
                  <c:v>95.666803460145644</c:v>
                </c:pt>
                <c:pt idx="3">
                  <c:v>195.35686006335652</c:v>
                </c:pt>
                <c:pt idx="4">
                  <c:v>45.483207349360448</c:v>
                </c:pt>
                <c:pt idx="5">
                  <c:v>80.1394395995938</c:v>
                </c:pt>
                <c:pt idx="6">
                  <c:v>8.5358827062815159</c:v>
                </c:pt>
                <c:pt idx="7">
                  <c:v>1.435406547134038</c:v>
                </c:pt>
                <c:pt idx="8">
                  <c:v>92.471296557081189</c:v>
                </c:pt>
                <c:pt idx="9">
                  <c:v>7.8430455884420797E-2</c:v>
                </c:pt>
                <c:pt idx="10">
                  <c:v>6.0513000016447487</c:v>
                </c:pt>
                <c:pt idx="11">
                  <c:v>31.119031452690248</c:v>
                </c:pt>
                <c:pt idx="12">
                  <c:v>13.832294805612499</c:v>
                </c:pt>
                <c:pt idx="13">
                  <c:v>3.3045293371011947E-2</c:v>
                </c:pt>
                <c:pt idx="14">
                  <c:v>4.6014999999999997</c:v>
                </c:pt>
                <c:pt idx="15">
                  <c:v>1.5753246127775501E-2</c:v>
                </c:pt>
                <c:pt idx="16">
                  <c:v>3.1767807241134851</c:v>
                </c:pt>
                <c:pt idx="17">
                  <c:v>64.384316877197094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85-4B9C-8BF7-358C1E95E323}"/>
            </c:ext>
          </c:extLst>
        </c:ser>
        <c:ser>
          <c:idx val="5"/>
          <c:order val="5"/>
          <c:tx>
            <c:strRef>
              <c:f>'Stacked bar'!$A$29</c:f>
              <c:strCache>
                <c:ptCount val="1"/>
                <c:pt idx="0">
                  <c:v>Av 30um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'Stacked bar'!$B$23:$S$23</c:f>
              <c:strCache>
                <c:ptCount val="18"/>
                <c:pt idx="0">
                  <c:v>Na</c:v>
                </c:pt>
                <c:pt idx="1">
                  <c:v>Mg</c:v>
                </c:pt>
                <c:pt idx="2">
                  <c:v>Al</c:v>
                </c:pt>
                <c:pt idx="3">
                  <c:v>K</c:v>
                </c:pt>
                <c:pt idx="4">
                  <c:v>Ca</c:v>
                </c:pt>
                <c:pt idx="5">
                  <c:v>Ca</c:v>
                </c:pt>
                <c:pt idx="6">
                  <c:v>Cr</c:v>
                </c:pt>
                <c:pt idx="7">
                  <c:v>Mn</c:v>
                </c:pt>
                <c:pt idx="8">
                  <c:v>Fe</c:v>
                </c:pt>
                <c:pt idx="9">
                  <c:v>Co</c:v>
                </c:pt>
                <c:pt idx="10">
                  <c:v>Ni</c:v>
                </c:pt>
                <c:pt idx="11">
                  <c:v>Cu</c:v>
                </c:pt>
                <c:pt idx="12">
                  <c:v>Zn</c:v>
                </c:pt>
                <c:pt idx="13">
                  <c:v>Ga</c:v>
                </c:pt>
                <c:pt idx="14">
                  <c:v>Ag</c:v>
                </c:pt>
                <c:pt idx="15">
                  <c:v>Cd</c:v>
                </c:pt>
                <c:pt idx="16">
                  <c:v>Ba</c:v>
                </c:pt>
                <c:pt idx="17">
                  <c:v>Pb</c:v>
                </c:pt>
              </c:strCache>
            </c:strRef>
          </c:cat>
          <c:val>
            <c:numRef>
              <c:f>'Stacked bar'!$B$29:$S$29</c:f>
              <c:numCache>
                <c:formatCode>General</c:formatCode>
                <c:ptCount val="18"/>
                <c:pt idx="0">
                  <c:v>1224.4766926606255</c:v>
                </c:pt>
                <c:pt idx="1">
                  <c:v>97.518863104903744</c:v>
                </c:pt>
                <c:pt idx="2">
                  <c:v>237.8778423460725</c:v>
                </c:pt>
                <c:pt idx="3">
                  <c:v>128.8011417881346</c:v>
                </c:pt>
                <c:pt idx="4">
                  <c:v>55.222202348510947</c:v>
                </c:pt>
                <c:pt idx="5">
                  <c:v>105.04617944561099</c:v>
                </c:pt>
                <c:pt idx="6">
                  <c:v>6.7917118823587455</c:v>
                </c:pt>
                <c:pt idx="7">
                  <c:v>2.1823382910065652</c:v>
                </c:pt>
                <c:pt idx="8">
                  <c:v>247.9765346926485</c:v>
                </c:pt>
                <c:pt idx="9">
                  <c:v>7.0507739120437049E-2</c:v>
                </c:pt>
                <c:pt idx="10">
                  <c:v>2.0565134089016648</c:v>
                </c:pt>
                <c:pt idx="11">
                  <c:v>768.81808526605448</c:v>
                </c:pt>
                <c:pt idx="12">
                  <c:v>16.860469140977301</c:v>
                </c:pt>
                <c:pt idx="13">
                  <c:v>7.4920919950187043E-2</c:v>
                </c:pt>
                <c:pt idx="14">
                  <c:v>102.21899999999999</c:v>
                </c:pt>
                <c:pt idx="15">
                  <c:v>1.3591150937193226E-2</c:v>
                </c:pt>
                <c:pt idx="16">
                  <c:v>3.2927230737258046</c:v>
                </c:pt>
                <c:pt idx="17">
                  <c:v>347.51360535410248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85-4B9C-8BF7-358C1E95E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4474975"/>
        <c:axId val="2014475455"/>
      </c:barChart>
      <c:catAx>
        <c:axId val="2014474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475455"/>
        <c:crosses val="autoZero"/>
        <c:auto val="1"/>
        <c:lblAlgn val="ctr"/>
        <c:lblOffset val="100"/>
        <c:noMultiLvlLbl val="0"/>
      </c:catAx>
      <c:valAx>
        <c:axId val="201447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47497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[Hmim][HSO4] Temperature Comparison Copper Yield 24hr Leach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6538353105158169E-17"/>
                  <c:y val="-5.974606511003863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F2-4EBE-8F50-12182F667481}"/>
                </c:ext>
              </c:extLst>
            </c:dLbl>
            <c:dLbl>
              <c:idx val="1"/>
              <c:layout>
                <c:manualLayout>
                  <c:x val="-7.3076706210316338E-17"/>
                  <c:y val="-2.68857292995173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F2-4EBE-8F50-12182F667481}"/>
                </c:ext>
              </c:extLst>
            </c:dLbl>
            <c:dLbl>
              <c:idx val="2"/>
              <c:layout>
                <c:manualLayout>
                  <c:x val="0"/>
                  <c:y val="-4.1822245577027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F2-4EBE-8F50-12182F6674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cust"/>
            <c:noEndCap val="0"/>
            <c:plus>
              <c:numRef>
                <c:f>('For report'!$W$13,'For report'!$W$18,'For report'!$W$23)</c:f>
                <c:numCache>
                  <c:formatCode>General</c:formatCode>
                  <c:ptCount val="3"/>
                  <c:pt idx="0">
                    <c:v>5.7</c:v>
                  </c:pt>
                  <c:pt idx="1">
                    <c:v>2.7</c:v>
                  </c:pt>
                  <c:pt idx="2">
                    <c:v>4.0999999999999996</c:v>
                  </c:pt>
                </c:numCache>
              </c:numRef>
            </c:plus>
            <c:minus>
              <c:numRef>
                <c:f>('For report'!$W$13,'For report'!$W$18,'For report'!$W$23)</c:f>
                <c:numCache>
                  <c:formatCode>General</c:formatCode>
                  <c:ptCount val="3"/>
                  <c:pt idx="0">
                    <c:v>5.7</c:v>
                  </c:pt>
                  <c:pt idx="1">
                    <c:v>2.7</c:v>
                  </c:pt>
                  <c:pt idx="2">
                    <c:v>4.0999999999999996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'For report'!$M$19:$M$21</c:f>
              <c:strCache>
                <c:ptCount val="3"/>
                <c:pt idx="0">
                  <c:v>25°C</c:v>
                </c:pt>
                <c:pt idx="1">
                  <c:v>60°C</c:v>
                </c:pt>
                <c:pt idx="2">
                  <c:v>90°C</c:v>
                </c:pt>
              </c:strCache>
            </c:strRef>
          </c:cat>
          <c:val>
            <c:numRef>
              <c:f>'For report'!$N$19:$N$21</c:f>
              <c:numCache>
                <c:formatCode>0.00</c:formatCode>
                <c:ptCount val="3"/>
                <c:pt idx="0">
                  <c:v>50.7</c:v>
                </c:pt>
                <c:pt idx="1">
                  <c:v>29.3</c:v>
                </c:pt>
                <c:pt idx="2">
                  <c:v>21.1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2-4EBE-8F50-12182F6674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96355791"/>
        <c:axId val="1996358671"/>
      </c:barChart>
      <c:catAx>
        <c:axId val="1996355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Temperature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358671"/>
        <c:crosses val="autoZero"/>
        <c:auto val="1"/>
        <c:lblAlgn val="ctr"/>
        <c:lblOffset val="100"/>
        <c:noMultiLvlLbl val="0"/>
      </c:catAx>
      <c:valAx>
        <c:axId val="199635867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Leaching Yield</a:t>
                </a:r>
                <a:r>
                  <a:rPr lang="en-GB" baseline="0"/>
                  <a:t>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355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18</xdr:col>
      <xdr:colOff>160470</xdr:colOff>
      <xdr:row>67</xdr:row>
      <xdr:rowOff>170690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FE357A-2408-4699-8B7D-531AAC265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6934200"/>
          <a:ext cx="11638095" cy="60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18</xdr:col>
      <xdr:colOff>150946</xdr:colOff>
      <xdr:row>101</xdr:row>
      <xdr:rowOff>27809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9EC349-F9AF-4F58-A84D-19DFE56F1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700" y="13220700"/>
          <a:ext cx="11628571" cy="61238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377699</xdr:colOff>
      <xdr:row>1</xdr:row>
      <xdr:rowOff>49196</xdr:rowOff>
    </xdr:from>
    <xdr:to>
      <xdr:col>25</xdr:col>
      <xdr:colOff>49006</xdr:colOff>
      <xdr:row>23</xdr:row>
      <xdr:rowOff>140088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9F9246-1984-1942-E618-60607E530F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554934</xdr:colOff>
      <xdr:row>24</xdr:row>
      <xdr:rowOff>83378</xdr:rowOff>
    </xdr:from>
    <xdr:to>
      <xdr:col>15</xdr:col>
      <xdr:colOff>444500</xdr:colOff>
      <xdr:row>44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FBFEC2-070F-9751-5606-F87D033D8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69850</xdr:colOff>
      <xdr:row>40</xdr:row>
      <xdr:rowOff>0</xdr:rowOff>
    </xdr:from>
    <xdr:to>
      <xdr:col>17</xdr:col>
      <xdr:colOff>586946</xdr:colOff>
      <xdr:row>60</xdr:row>
      <xdr:rowOff>134016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B2C283-9210-421E-AEA6-ABCD5C4B0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257174</xdr:colOff>
      <xdr:row>7</xdr:row>
      <xdr:rowOff>165100</xdr:rowOff>
    </xdr:from>
    <xdr:to>
      <xdr:col>16</xdr:col>
      <xdr:colOff>139699</xdr:colOff>
      <xdr:row>26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06EF34-4A3E-3A3C-A601-9DC94A0BE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200024</xdr:colOff>
      <xdr:row>15</xdr:row>
      <xdr:rowOff>149225</xdr:rowOff>
    </xdr:from>
    <xdr:to>
      <xdr:col>11</xdr:col>
      <xdr:colOff>488950</xdr:colOff>
      <xdr:row>38</xdr:row>
      <xdr:rowOff>165101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8C5B61-9291-EBDD-62DD-7A7860DFF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R34"/>
  <sheetViews>
    <sheetView zoomScaleNormal="100" workbookViewId="0">
      <selection activeCell="R35" sqref="R35"/>
    </sheetView>
  </sheetViews>
  <sheetFormatPr defaultColWidth="9.1796875" defaultRowHeight="14.5" x14ac:dyDescent="0.35"/>
  <cols>
    <col min="1" max="1" width="4" customWidth="1"/>
    <col min="2" max="2" width="4.26953125" customWidth="1"/>
    <col min="3" max="3" width="8.54296875" customWidth="1"/>
    <col min="4" max="4" width="21.1796875" customWidth="1"/>
    <col min="5" max="5" width="11" customWidth="1"/>
    <col min="6" max="6" width="5.81640625" customWidth="1"/>
    <col min="7" max="7" width="12.453125" customWidth="1"/>
    <col min="8" max="8" width="10.7265625" customWidth="1"/>
    <col min="9" max="9" width="9" customWidth="1"/>
    <col min="10" max="10" width="11" customWidth="1"/>
    <col min="11" max="11" width="9.7265625" customWidth="1"/>
    <col min="12" max="12" width="9" customWidth="1"/>
    <col min="13" max="13" width="11" customWidth="1"/>
    <col min="14" max="14" width="9.7265625" customWidth="1"/>
    <col min="15" max="15" width="9" customWidth="1"/>
    <col min="16" max="16" width="11" customWidth="1"/>
    <col min="17" max="17" width="9.7265625" customWidth="1"/>
    <col min="18" max="18" width="9" customWidth="1"/>
    <col min="19" max="19" width="11" customWidth="1"/>
    <col min="20" max="20" width="8.7265625" customWidth="1"/>
    <col min="21" max="21" width="9" customWidth="1"/>
    <col min="22" max="22" width="11" customWidth="1"/>
    <col min="23" max="23" width="9.7265625" customWidth="1"/>
    <col min="24" max="24" width="9" customWidth="1"/>
    <col min="25" max="25" width="11" customWidth="1"/>
    <col min="26" max="26" width="11.7265625" customWidth="1"/>
    <col min="27" max="27" width="9" customWidth="1"/>
    <col min="28" max="28" width="11" customWidth="1"/>
    <col min="29" max="29" width="10.7265625" customWidth="1"/>
    <col min="30" max="30" width="9" customWidth="1"/>
    <col min="31" max="31" width="11" customWidth="1"/>
    <col min="32" max="32" width="11.7265625" customWidth="1"/>
    <col min="33" max="33" width="9" customWidth="1"/>
    <col min="34" max="34" width="11" customWidth="1"/>
    <col min="35" max="35" width="11.7265625" customWidth="1"/>
    <col min="36" max="36" width="9" customWidth="1"/>
    <col min="37" max="37" width="11" customWidth="1"/>
    <col min="38" max="38" width="10.7265625" customWidth="1"/>
    <col min="39" max="39" width="9" customWidth="1"/>
    <col min="40" max="40" width="11" customWidth="1"/>
    <col min="41" max="41" width="11.7265625" customWidth="1"/>
    <col min="42" max="42" width="9" customWidth="1"/>
    <col min="43" max="43" width="11" customWidth="1"/>
    <col min="44" max="44" width="10.7265625" customWidth="1"/>
    <col min="45" max="45" width="9" customWidth="1"/>
    <col min="46" max="46" width="11" customWidth="1"/>
    <col min="47" max="47" width="10.7265625" customWidth="1"/>
    <col min="48" max="48" width="9" customWidth="1"/>
    <col min="49" max="49" width="11" customWidth="1"/>
    <col min="50" max="50" width="10.7265625" customWidth="1"/>
    <col min="51" max="51" width="9" customWidth="1"/>
    <col min="52" max="52" width="11" customWidth="1"/>
    <col min="53" max="53" width="10.7265625" customWidth="1"/>
    <col min="54" max="54" width="9" customWidth="1"/>
    <col min="55" max="55" width="11" customWidth="1"/>
    <col min="56" max="56" width="11.7265625" customWidth="1"/>
    <col min="57" max="57" width="9" customWidth="1"/>
    <col min="58" max="58" width="11" customWidth="1"/>
    <col min="59" max="59" width="10.7265625" customWidth="1"/>
    <col min="60" max="60" width="9" customWidth="1"/>
    <col min="61" max="61" width="9.7265625" customWidth="1"/>
    <col min="62" max="62" width="9" customWidth="1"/>
    <col min="63" max="63" width="10.7265625" customWidth="1"/>
    <col min="64" max="64" width="9" customWidth="1"/>
    <col min="65" max="65" width="9.7265625" customWidth="1"/>
    <col min="66" max="66" width="9" customWidth="1"/>
    <col min="67" max="67" width="10.7265625" customWidth="1"/>
    <col min="68" max="68" width="9" customWidth="1"/>
    <col min="69" max="69" width="10.7265625" customWidth="1"/>
    <col min="70" max="70" width="9.1796875" customWidth="1"/>
  </cols>
  <sheetData>
    <row r="1" spans="1:70" ht="18" customHeight="1" x14ac:dyDescent="0.35">
      <c r="A1" s="44" t="s">
        <v>28</v>
      </c>
      <c r="B1" s="45"/>
      <c r="C1" s="45"/>
      <c r="D1" s="45"/>
      <c r="E1" s="45"/>
      <c r="F1" s="45"/>
      <c r="G1" s="46"/>
      <c r="H1" s="44" t="s">
        <v>113</v>
      </c>
      <c r="I1" s="45"/>
      <c r="J1" s="46"/>
      <c r="K1" s="44" t="s">
        <v>14</v>
      </c>
      <c r="L1" s="45"/>
      <c r="M1" s="46"/>
      <c r="N1" s="44" t="s">
        <v>76</v>
      </c>
      <c r="O1" s="45"/>
      <c r="P1" s="46"/>
      <c r="Q1" s="44" t="s">
        <v>53</v>
      </c>
      <c r="R1" s="45"/>
      <c r="S1" s="46"/>
      <c r="T1" s="44" t="s">
        <v>17</v>
      </c>
      <c r="U1" s="45"/>
      <c r="V1" s="46"/>
      <c r="W1" s="44" t="s">
        <v>22</v>
      </c>
      <c r="X1" s="45"/>
      <c r="Y1" s="46"/>
      <c r="Z1" s="44" t="s">
        <v>95</v>
      </c>
      <c r="AA1" s="45"/>
      <c r="AB1" s="46"/>
      <c r="AC1" s="44" t="s">
        <v>21</v>
      </c>
      <c r="AD1" s="45"/>
      <c r="AE1" s="46"/>
      <c r="AF1" s="44" t="s">
        <v>87</v>
      </c>
      <c r="AG1" s="45"/>
      <c r="AH1" s="46"/>
      <c r="AI1" s="44" t="s">
        <v>71</v>
      </c>
      <c r="AJ1" s="45"/>
      <c r="AK1" s="46"/>
      <c r="AL1" s="44" t="s">
        <v>52</v>
      </c>
      <c r="AM1" s="45"/>
      <c r="AN1" s="46"/>
      <c r="AO1" s="44" t="s">
        <v>79</v>
      </c>
      <c r="AP1" s="45"/>
      <c r="AQ1" s="46"/>
      <c r="AR1" s="44" t="s">
        <v>78</v>
      </c>
      <c r="AS1" s="45"/>
      <c r="AT1" s="46"/>
      <c r="AU1" s="44" t="s">
        <v>1</v>
      </c>
      <c r="AV1" s="45"/>
      <c r="AW1" s="46"/>
      <c r="AX1" s="44" t="s">
        <v>92</v>
      </c>
      <c r="AY1" s="45"/>
      <c r="AZ1" s="46"/>
      <c r="BA1" s="44" t="s">
        <v>33</v>
      </c>
      <c r="BB1" s="45"/>
      <c r="BC1" s="46"/>
      <c r="BD1" s="44" t="s">
        <v>122</v>
      </c>
      <c r="BE1" s="45"/>
      <c r="BF1" s="46"/>
      <c r="BG1" s="44" t="s">
        <v>83</v>
      </c>
      <c r="BH1" s="46"/>
      <c r="BI1" s="44" t="s">
        <v>47</v>
      </c>
      <c r="BJ1" s="46"/>
      <c r="BK1" s="44" t="s">
        <v>80</v>
      </c>
      <c r="BL1" s="46"/>
      <c r="BM1" s="44" t="s">
        <v>18</v>
      </c>
      <c r="BN1" s="46"/>
      <c r="BO1" s="44" t="s">
        <v>8</v>
      </c>
      <c r="BP1" s="46"/>
      <c r="BQ1" s="44" t="s">
        <v>111</v>
      </c>
      <c r="BR1" s="46"/>
    </row>
    <row r="2" spans="1:70" ht="18" customHeight="1" x14ac:dyDescent="0.35">
      <c r="A2" s="1" t="s">
        <v>110</v>
      </c>
      <c r="B2" s="1" t="s">
        <v>123</v>
      </c>
      <c r="C2" s="1" t="s">
        <v>50</v>
      </c>
      <c r="D2" s="1" t="s">
        <v>67</v>
      </c>
      <c r="E2" s="1" t="s">
        <v>62</v>
      </c>
      <c r="F2" s="1" t="s">
        <v>29</v>
      </c>
      <c r="G2" s="1" t="s">
        <v>106</v>
      </c>
      <c r="H2" s="1" t="s">
        <v>102</v>
      </c>
      <c r="I2" s="1" t="s">
        <v>101</v>
      </c>
      <c r="J2" s="1" t="s">
        <v>49</v>
      </c>
      <c r="K2" s="1" t="s">
        <v>102</v>
      </c>
      <c r="L2" s="1" t="s">
        <v>101</v>
      </c>
      <c r="M2" s="1" t="s">
        <v>49</v>
      </c>
      <c r="N2" s="1" t="s">
        <v>102</v>
      </c>
      <c r="O2" s="1" t="s">
        <v>101</v>
      </c>
      <c r="P2" s="1" t="s">
        <v>49</v>
      </c>
      <c r="Q2" s="1" t="s">
        <v>102</v>
      </c>
      <c r="R2" s="1" t="s">
        <v>101</v>
      </c>
      <c r="S2" s="1" t="s">
        <v>49</v>
      </c>
      <c r="T2" s="1" t="s">
        <v>102</v>
      </c>
      <c r="U2" s="1" t="s">
        <v>101</v>
      </c>
      <c r="V2" s="1" t="s">
        <v>49</v>
      </c>
      <c r="W2" s="1" t="s">
        <v>102</v>
      </c>
      <c r="X2" s="1" t="s">
        <v>101</v>
      </c>
      <c r="Y2" s="1" t="s">
        <v>49</v>
      </c>
      <c r="Z2" s="1" t="s">
        <v>102</v>
      </c>
      <c r="AA2" s="1" t="s">
        <v>101</v>
      </c>
      <c r="AB2" s="1" t="s">
        <v>49</v>
      </c>
      <c r="AC2" s="1" t="s">
        <v>102</v>
      </c>
      <c r="AD2" s="1" t="s">
        <v>101</v>
      </c>
      <c r="AE2" s="1" t="s">
        <v>49</v>
      </c>
      <c r="AF2" s="1" t="s">
        <v>102</v>
      </c>
      <c r="AG2" s="1" t="s">
        <v>101</v>
      </c>
      <c r="AH2" s="1" t="s">
        <v>49</v>
      </c>
      <c r="AI2" s="1" t="s">
        <v>102</v>
      </c>
      <c r="AJ2" s="1" t="s">
        <v>101</v>
      </c>
      <c r="AK2" s="1" t="s">
        <v>49</v>
      </c>
      <c r="AL2" s="1" t="s">
        <v>102</v>
      </c>
      <c r="AM2" s="1" t="s">
        <v>101</v>
      </c>
      <c r="AN2" s="1" t="s">
        <v>49</v>
      </c>
      <c r="AO2" s="1" t="s">
        <v>102</v>
      </c>
      <c r="AP2" s="1" t="s">
        <v>101</v>
      </c>
      <c r="AQ2" s="1" t="s">
        <v>49</v>
      </c>
      <c r="AR2" s="1" t="s">
        <v>102</v>
      </c>
      <c r="AS2" s="1" t="s">
        <v>101</v>
      </c>
      <c r="AT2" s="1" t="s">
        <v>49</v>
      </c>
      <c r="AU2" s="1" t="s">
        <v>102</v>
      </c>
      <c r="AV2" s="1" t="s">
        <v>101</v>
      </c>
      <c r="AW2" s="1" t="s">
        <v>49</v>
      </c>
      <c r="AX2" s="1" t="s">
        <v>102</v>
      </c>
      <c r="AY2" s="1" t="s">
        <v>101</v>
      </c>
      <c r="AZ2" s="1" t="s">
        <v>49</v>
      </c>
      <c r="BA2" s="1" t="s">
        <v>102</v>
      </c>
      <c r="BB2" s="1" t="s">
        <v>101</v>
      </c>
      <c r="BC2" s="1" t="s">
        <v>49</v>
      </c>
      <c r="BD2" s="1" t="s">
        <v>102</v>
      </c>
      <c r="BE2" s="1" t="s">
        <v>101</v>
      </c>
      <c r="BF2" s="1" t="s">
        <v>49</v>
      </c>
      <c r="BG2" s="1" t="s">
        <v>102</v>
      </c>
      <c r="BH2" s="1" t="s">
        <v>101</v>
      </c>
      <c r="BI2" s="1" t="s">
        <v>102</v>
      </c>
      <c r="BJ2" s="1" t="s">
        <v>101</v>
      </c>
      <c r="BK2" s="1" t="s">
        <v>102</v>
      </c>
      <c r="BL2" s="1" t="s">
        <v>101</v>
      </c>
      <c r="BM2" s="1" t="s">
        <v>102</v>
      </c>
      <c r="BN2" s="1" t="s">
        <v>101</v>
      </c>
      <c r="BO2" s="1" t="s">
        <v>102</v>
      </c>
      <c r="BP2" s="1" t="s">
        <v>101</v>
      </c>
      <c r="BQ2" s="1" t="s">
        <v>102</v>
      </c>
      <c r="BR2" s="1" t="s">
        <v>101</v>
      </c>
    </row>
    <row r="3" spans="1:70" x14ac:dyDescent="0.35">
      <c r="A3" s="2"/>
      <c r="B3" s="2" t="b">
        <v>0</v>
      </c>
      <c r="C3" s="2" t="s">
        <v>63</v>
      </c>
      <c r="D3" s="4">
        <v>46175.603379629603</v>
      </c>
      <c r="E3" s="5" t="s">
        <v>28</v>
      </c>
      <c r="F3" s="6" t="s">
        <v>110</v>
      </c>
      <c r="G3" s="2" t="s">
        <v>0</v>
      </c>
      <c r="H3" s="3">
        <v>21426.1033333333</v>
      </c>
      <c r="I3" s="3">
        <v>0.82546705843923496</v>
      </c>
      <c r="J3" s="3"/>
      <c r="K3" s="6">
        <v>128.47</v>
      </c>
      <c r="L3" s="6">
        <v>9.8064058273880192</v>
      </c>
      <c r="M3" s="6"/>
      <c r="N3" s="3">
        <v>76.743333333333297</v>
      </c>
      <c r="O3" s="3">
        <v>15.0613113701642</v>
      </c>
      <c r="P3" s="3"/>
      <c r="Q3" s="6">
        <v>4286.8033333333296</v>
      </c>
      <c r="R3" s="6">
        <v>0.29363823686898</v>
      </c>
      <c r="S3" s="6"/>
      <c r="T3" s="3">
        <v>6.6733333333333302</v>
      </c>
      <c r="U3" s="3">
        <v>86.602540378443905</v>
      </c>
      <c r="V3" s="3"/>
      <c r="W3" s="6">
        <v>937.68</v>
      </c>
      <c r="X3" s="6">
        <v>2.2224083562035299</v>
      </c>
      <c r="Y3" s="6"/>
      <c r="Z3" s="3">
        <v>8035.6333333333296</v>
      </c>
      <c r="AA3" s="3">
        <v>2.4288389517967999</v>
      </c>
      <c r="AB3" s="3"/>
      <c r="AC3" s="6">
        <v>327.01666666666699</v>
      </c>
      <c r="AD3" s="6">
        <v>12.836045409470501</v>
      </c>
      <c r="AE3" s="6"/>
      <c r="AF3" s="3">
        <v>98296.716666666704</v>
      </c>
      <c r="AG3" s="3">
        <v>0.50219304174464696</v>
      </c>
      <c r="AH3" s="3"/>
      <c r="AI3" s="6">
        <v>622.33666666666704</v>
      </c>
      <c r="AJ3" s="6">
        <v>4.4297263877763102</v>
      </c>
      <c r="AK3" s="6"/>
      <c r="AL3" s="3">
        <v>2442.7766666666698</v>
      </c>
      <c r="AM3" s="3">
        <v>1.60034540851415</v>
      </c>
      <c r="AN3" s="3"/>
      <c r="AO3" s="6">
        <v>1204.65333333333</v>
      </c>
      <c r="AP3" s="6">
        <v>3.4844885801068899</v>
      </c>
      <c r="AQ3" s="6"/>
      <c r="AR3" s="3">
        <v>779.17333333333295</v>
      </c>
      <c r="AS3" s="3">
        <v>12.593788257301201</v>
      </c>
      <c r="AT3" s="3"/>
      <c r="AU3" s="6">
        <v>6.6766666666666703</v>
      </c>
      <c r="AV3" s="6">
        <v>43.236415565873102</v>
      </c>
      <c r="AW3" s="6"/>
      <c r="AX3" s="3">
        <v>13.35</v>
      </c>
      <c r="AY3" s="3">
        <v>57.251549356955998</v>
      </c>
      <c r="AZ3" s="3"/>
      <c r="BA3" s="6">
        <v>33.369999999999997</v>
      </c>
      <c r="BB3" s="6">
        <v>22.904051061293501</v>
      </c>
      <c r="BC3" s="6"/>
      <c r="BD3" s="3">
        <v>1616.81</v>
      </c>
      <c r="BE3" s="3">
        <v>12.4733451711132</v>
      </c>
      <c r="BF3" s="3"/>
      <c r="BG3" s="6">
        <v>269681.48</v>
      </c>
      <c r="BH3" s="6">
        <v>0.456281072816623</v>
      </c>
      <c r="BI3" s="3">
        <v>22316.9866666667</v>
      </c>
      <c r="BJ3" s="3">
        <v>0.913136896075324</v>
      </c>
      <c r="BK3" s="6">
        <v>738773.63666666695</v>
      </c>
      <c r="BL3" s="6">
        <v>0.38198782832747902</v>
      </c>
      <c r="BM3" s="3">
        <v>73853.946666666699</v>
      </c>
      <c r="BN3" s="3">
        <v>0.65995125159240098</v>
      </c>
      <c r="BO3" s="6">
        <v>598853.15333333297</v>
      </c>
      <c r="BP3" s="6">
        <v>1.083175885997</v>
      </c>
      <c r="BQ3" s="3">
        <v>682092.87666666706</v>
      </c>
      <c r="BR3" s="3">
        <v>0.82955339064981304</v>
      </c>
    </row>
    <row r="4" spans="1:70" x14ac:dyDescent="0.35">
      <c r="A4" s="2"/>
      <c r="B4" s="2" t="b">
        <v>0</v>
      </c>
      <c r="C4" s="2" t="s">
        <v>93</v>
      </c>
      <c r="D4" s="4">
        <v>46175.606469907398</v>
      </c>
      <c r="E4" s="5" t="s">
        <v>42</v>
      </c>
      <c r="F4" s="6" t="s">
        <v>89</v>
      </c>
      <c r="G4" s="2" t="s">
        <v>114</v>
      </c>
      <c r="H4" s="3">
        <v>13531.973333333301</v>
      </c>
      <c r="I4" s="3">
        <v>2.1561346707728699</v>
      </c>
      <c r="J4" s="3">
        <v>0</v>
      </c>
      <c r="K4" s="6">
        <v>430.46</v>
      </c>
      <c r="L4" s="6">
        <v>4.0277444091818504</v>
      </c>
      <c r="M4" s="6">
        <v>0</v>
      </c>
      <c r="N4" s="3">
        <v>83.423333333333304</v>
      </c>
      <c r="O4" s="3">
        <v>38.1055330102459</v>
      </c>
      <c r="P4" s="3">
        <v>0</v>
      </c>
      <c r="Q4" s="6">
        <v>4056.49</v>
      </c>
      <c r="R4" s="6">
        <v>3.04627389024132</v>
      </c>
      <c r="S4" s="6">
        <v>0</v>
      </c>
      <c r="T4" s="3">
        <v>28.363333333333301</v>
      </c>
      <c r="U4" s="3">
        <v>26.962438113144898</v>
      </c>
      <c r="V4" s="3">
        <v>0</v>
      </c>
      <c r="W4" s="6">
        <v>1177.9566666666699</v>
      </c>
      <c r="X4" s="6">
        <v>10.5588157425367</v>
      </c>
      <c r="Y4" s="6">
        <v>0</v>
      </c>
      <c r="Z4" s="3">
        <v>7494.8233333333301</v>
      </c>
      <c r="AA4" s="3">
        <v>1.35598047051471</v>
      </c>
      <c r="AB4" s="3">
        <v>0</v>
      </c>
      <c r="AC4" s="6">
        <v>343.7</v>
      </c>
      <c r="AD4" s="6">
        <v>18.208237935077399</v>
      </c>
      <c r="AE4" s="6">
        <v>0</v>
      </c>
      <c r="AF4" s="3">
        <v>87069.0566666667</v>
      </c>
      <c r="AG4" s="3">
        <v>0.93856652067892998</v>
      </c>
      <c r="AH4" s="3">
        <v>0</v>
      </c>
      <c r="AI4" s="6">
        <v>430.46333333333303</v>
      </c>
      <c r="AJ4" s="6">
        <v>8.3856422858023603</v>
      </c>
      <c r="AK4" s="6">
        <v>0</v>
      </c>
      <c r="AL4" s="3">
        <v>2312.6233333333298</v>
      </c>
      <c r="AM4" s="3">
        <v>2.08719960042363</v>
      </c>
      <c r="AN4" s="3">
        <v>0</v>
      </c>
      <c r="AO4" s="6">
        <v>652.37333333333299</v>
      </c>
      <c r="AP4" s="6">
        <v>5.2227768852578098</v>
      </c>
      <c r="AQ4" s="6">
        <v>0</v>
      </c>
      <c r="AR4" s="3">
        <v>624.006666666667</v>
      </c>
      <c r="AS4" s="3">
        <v>14.4686209881745</v>
      </c>
      <c r="AT4" s="3">
        <v>0</v>
      </c>
      <c r="AU4" s="6">
        <v>1.67</v>
      </c>
      <c r="AV4" s="6">
        <v>173.20508075688801</v>
      </c>
      <c r="AW4" s="6">
        <v>0</v>
      </c>
      <c r="AX4" s="3">
        <v>11.68</v>
      </c>
      <c r="AY4" s="3">
        <v>89.208384736523897</v>
      </c>
      <c r="AZ4" s="3">
        <v>0</v>
      </c>
      <c r="BA4" s="6">
        <v>26.696666666666701</v>
      </c>
      <c r="BB4" s="6">
        <v>39.023366421818103</v>
      </c>
      <c r="BC4" s="6">
        <v>0</v>
      </c>
      <c r="BD4" s="3">
        <v>882.63333333333298</v>
      </c>
      <c r="BE4" s="3">
        <v>7.7410813657651696</v>
      </c>
      <c r="BF4" s="3">
        <v>0</v>
      </c>
      <c r="BG4" s="6">
        <v>245156.95333333299</v>
      </c>
      <c r="BH4" s="6">
        <v>0.59341054267917603</v>
      </c>
      <c r="BI4" s="3">
        <v>20900.07</v>
      </c>
      <c r="BJ4" s="3">
        <v>0.183349810695485</v>
      </c>
      <c r="BK4" s="6">
        <v>57384.6933333333</v>
      </c>
      <c r="BL4" s="6">
        <v>0.79401225831318401</v>
      </c>
      <c r="BM4" s="3">
        <v>5864.0666666666702</v>
      </c>
      <c r="BN4" s="3">
        <v>0.95993349186336996</v>
      </c>
      <c r="BO4" s="6">
        <v>579903.27666666696</v>
      </c>
      <c r="BP4" s="6">
        <v>0.82688841386202305</v>
      </c>
      <c r="BQ4" s="3">
        <v>681831.86</v>
      </c>
      <c r="BR4" s="3">
        <v>0.206068945099837</v>
      </c>
    </row>
    <row r="5" spans="1:70" x14ac:dyDescent="0.35">
      <c r="A5" s="2"/>
      <c r="B5" s="2" t="b">
        <v>0</v>
      </c>
      <c r="C5" s="2" t="s">
        <v>13</v>
      </c>
      <c r="D5" s="4">
        <v>46175.609571759298</v>
      </c>
      <c r="E5" s="5" t="s">
        <v>75</v>
      </c>
      <c r="F5" s="6" t="s">
        <v>23</v>
      </c>
      <c r="G5" s="2" t="s">
        <v>121</v>
      </c>
      <c r="H5" s="3">
        <v>14802.8666666667</v>
      </c>
      <c r="I5" s="3">
        <v>1.9181181518722601</v>
      </c>
      <c r="J5" s="3">
        <v>3.5374570053914201</v>
      </c>
      <c r="K5" s="6">
        <v>1488.30666666667</v>
      </c>
      <c r="L5" s="6">
        <v>7.7750860040102401</v>
      </c>
      <c r="M5" s="6">
        <v>4.9573132575468897</v>
      </c>
      <c r="N5" s="3">
        <v>463.82666666666699</v>
      </c>
      <c r="O5" s="3">
        <v>12.7837922518508</v>
      </c>
      <c r="P5" s="3">
        <v>5.8742856976018301</v>
      </c>
      <c r="Q5" s="6">
        <v>4290.1499999999996</v>
      </c>
      <c r="R5" s="6">
        <v>3.4006002988918</v>
      </c>
      <c r="S5" s="6">
        <v>2.8745248922976199</v>
      </c>
      <c r="T5" s="3">
        <v>40.04</v>
      </c>
      <c r="U5" s="3">
        <v>24.999999999999901</v>
      </c>
      <c r="V5" s="3">
        <v>3.7233432153377102</v>
      </c>
      <c r="W5" s="6">
        <v>1318.11666666667</v>
      </c>
      <c r="X5" s="6">
        <v>7.49389486005387</v>
      </c>
      <c r="Y5" s="6">
        <v>5.67962683876301</v>
      </c>
      <c r="Z5" s="3">
        <v>23575.293333333299</v>
      </c>
      <c r="AA5" s="3">
        <v>1.09777524027617</v>
      </c>
      <c r="AB5" s="3">
        <v>5.2319553083740002</v>
      </c>
      <c r="AC5" s="6">
        <v>7666.77</v>
      </c>
      <c r="AD5" s="6">
        <v>1.24324549185719</v>
      </c>
      <c r="AE5" s="6">
        <v>5.2712596668057401</v>
      </c>
      <c r="AF5" s="3">
        <v>140447.66</v>
      </c>
      <c r="AG5" s="3">
        <v>0.35432209805457898</v>
      </c>
      <c r="AH5" s="3">
        <v>5.6250339738498001</v>
      </c>
      <c r="AI5" s="6">
        <v>31854.9</v>
      </c>
      <c r="AJ5" s="6">
        <v>0.44863365391429</v>
      </c>
      <c r="AK5" s="6">
        <v>5.2669891595522698</v>
      </c>
      <c r="AL5" s="3">
        <v>10960.743333333299</v>
      </c>
      <c r="AM5" s="3">
        <v>2.5644251151575599</v>
      </c>
      <c r="AN5" s="3">
        <v>5.1777109252532396</v>
      </c>
      <c r="AO5" s="6">
        <v>39247.24</v>
      </c>
      <c r="AP5" s="6">
        <v>1.3831922057483099</v>
      </c>
      <c r="AQ5" s="6">
        <v>8.2199921064242503</v>
      </c>
      <c r="AR5" s="3">
        <v>3726.0833333333298</v>
      </c>
      <c r="AS5" s="3">
        <v>6.0930887895791397</v>
      </c>
      <c r="AT5" s="3">
        <v>5.0249083475469796</v>
      </c>
      <c r="AU5" s="6">
        <v>3789.4833333333299</v>
      </c>
      <c r="AV5" s="6">
        <v>3.89249329751526</v>
      </c>
      <c r="AW5" s="6">
        <v>5.6379715966459898</v>
      </c>
      <c r="AX5" s="3">
        <v>5119.6499999999996</v>
      </c>
      <c r="AY5" s="3">
        <v>2.8363977776259999</v>
      </c>
      <c r="AZ5" s="3">
        <v>5.2350026541083103</v>
      </c>
      <c r="BA5" s="6">
        <v>3323.89</v>
      </c>
      <c r="BB5" s="6">
        <v>1.3138006322361699</v>
      </c>
      <c r="BC5" s="6">
        <v>5.0914944651994798</v>
      </c>
      <c r="BD5" s="3">
        <v>64069.87</v>
      </c>
      <c r="BE5" s="3">
        <v>0.27866766550977201</v>
      </c>
      <c r="BF5" s="3">
        <v>5.1341281868563398</v>
      </c>
      <c r="BG5" s="6">
        <v>246958.14</v>
      </c>
      <c r="BH5" s="6">
        <v>0.575309603361018</v>
      </c>
      <c r="BI5" s="3">
        <v>20497.43</v>
      </c>
      <c r="BJ5" s="3">
        <v>3.4735933269156498</v>
      </c>
      <c r="BK5" s="6">
        <v>58579.336666666699</v>
      </c>
      <c r="BL5" s="6">
        <v>1.26651999721979</v>
      </c>
      <c r="BM5" s="3">
        <v>5673.7733333333299</v>
      </c>
      <c r="BN5" s="3">
        <v>6.7216294040802103</v>
      </c>
      <c r="BO5" s="6">
        <v>588001.26</v>
      </c>
      <c r="BP5" s="6">
        <v>0.88931087490319305</v>
      </c>
      <c r="BQ5" s="3">
        <v>682501.97666666703</v>
      </c>
      <c r="BR5" s="3">
        <v>0.48081762264113898</v>
      </c>
    </row>
    <row r="6" spans="1:70" x14ac:dyDescent="0.35">
      <c r="A6" s="2"/>
      <c r="B6" s="2" t="b">
        <v>0</v>
      </c>
      <c r="C6" s="2" t="s">
        <v>88</v>
      </c>
      <c r="D6" s="4">
        <v>46175.612731481502</v>
      </c>
      <c r="E6" s="5" t="s">
        <v>75</v>
      </c>
      <c r="F6" s="6" t="s">
        <v>58</v>
      </c>
      <c r="G6" s="2" t="s">
        <v>104</v>
      </c>
      <c r="H6" s="3">
        <v>33480.856666666703</v>
      </c>
      <c r="I6" s="3">
        <v>1.2700337194220801</v>
      </c>
      <c r="J6" s="3">
        <v>50.270838542427498</v>
      </c>
      <c r="K6" s="6">
        <v>10648.2866666667</v>
      </c>
      <c r="L6" s="6">
        <v>2.2662651446592701</v>
      </c>
      <c r="M6" s="6">
        <v>50.0168722206501</v>
      </c>
      <c r="N6" s="3">
        <v>3429</v>
      </c>
      <c r="O6" s="3">
        <v>2.7271887418025398</v>
      </c>
      <c r="P6" s="3">
        <v>54.012861478471599</v>
      </c>
      <c r="Q6" s="6">
        <v>9180.8866666666709</v>
      </c>
      <c r="R6" s="6">
        <v>0.30006985364592598</v>
      </c>
      <c r="S6" s="6">
        <v>52.048321909460597</v>
      </c>
      <c r="T6" s="3">
        <v>176.85333333333301</v>
      </c>
      <c r="U6" s="3">
        <v>17.061416871276499</v>
      </c>
      <c r="V6" s="3">
        <v>48.833064046084999</v>
      </c>
      <c r="W6" s="6">
        <v>2639.7</v>
      </c>
      <c r="X6" s="6">
        <v>3.5093491838089199</v>
      </c>
      <c r="Y6" s="6">
        <v>55.261739509583798</v>
      </c>
      <c r="Z6" s="3">
        <v>155994.95333333299</v>
      </c>
      <c r="AA6" s="3">
        <v>0.44722474147524899</v>
      </c>
      <c r="AB6" s="3">
        <v>50.339507938063797</v>
      </c>
      <c r="AC6" s="6">
        <v>67863.043333333306</v>
      </c>
      <c r="AD6" s="6">
        <v>1.1868868936216701</v>
      </c>
      <c r="AE6" s="6">
        <v>50.890326119938003</v>
      </c>
      <c r="AF6" s="3">
        <v>535423.52333333297</v>
      </c>
      <c r="AG6" s="3">
        <v>0.25919378026356799</v>
      </c>
      <c r="AH6" s="3">
        <v>49.232313549815402</v>
      </c>
      <c r="AI6" s="6">
        <v>285884.24666666699</v>
      </c>
      <c r="AJ6" s="6">
        <v>0.95851361119060796</v>
      </c>
      <c r="AK6" s="6">
        <v>50.129836885142197</v>
      </c>
      <c r="AL6" s="3">
        <v>82710.413333333301</v>
      </c>
      <c r="AM6" s="3">
        <v>1.21706579480761</v>
      </c>
      <c r="AN6" s="3">
        <v>50.283707432065697</v>
      </c>
      <c r="AO6" s="6">
        <v>231300.47</v>
      </c>
      <c r="AP6" s="6">
        <v>0.51503704848829102</v>
      </c>
      <c r="AQ6" s="6">
        <v>51.472578679817097</v>
      </c>
      <c r="AR6" s="3">
        <v>30955.4</v>
      </c>
      <c r="AS6" s="3">
        <v>1.14152533733759</v>
      </c>
      <c r="AT6" s="3">
        <v>51.4270181951265</v>
      </c>
      <c r="AU6" s="6">
        <v>33263.279999999999</v>
      </c>
      <c r="AV6" s="6">
        <v>1.0767775771553101</v>
      </c>
      <c r="AW6" s="6">
        <v>49.555167942725099</v>
      </c>
      <c r="AX6" s="3">
        <v>47188.323333333297</v>
      </c>
      <c r="AY6" s="3">
        <v>0.61368084497738595</v>
      </c>
      <c r="AZ6" s="3">
        <v>48.351973876703099</v>
      </c>
      <c r="BA6" s="6">
        <v>31801.503333333301</v>
      </c>
      <c r="BB6" s="6">
        <v>0.61154654143479603</v>
      </c>
      <c r="BC6" s="6">
        <v>49.048141082038697</v>
      </c>
      <c r="BD6" s="3">
        <v>590639.68000000005</v>
      </c>
      <c r="BE6" s="3">
        <v>1.08185195533376</v>
      </c>
      <c r="BF6" s="3">
        <v>48.725398019027303</v>
      </c>
      <c r="BG6" s="6">
        <v>240731.22</v>
      </c>
      <c r="BH6" s="6">
        <v>0.51807862910290403</v>
      </c>
      <c r="BI6" s="3">
        <v>19545.143333333301</v>
      </c>
      <c r="BJ6" s="3">
        <v>0.156547526015126</v>
      </c>
      <c r="BK6" s="6">
        <v>57719.896666666697</v>
      </c>
      <c r="BL6" s="6">
        <v>2.2691500692445001</v>
      </c>
      <c r="BM6" s="3">
        <v>5662.1233333333303</v>
      </c>
      <c r="BN6" s="3">
        <v>1.70776471929253</v>
      </c>
      <c r="BO6" s="6">
        <v>583430.85</v>
      </c>
      <c r="BP6" s="6">
        <v>0.433053231702481</v>
      </c>
      <c r="BQ6" s="3">
        <v>671299.97</v>
      </c>
      <c r="BR6" s="3">
        <v>0.87897412165198097</v>
      </c>
    </row>
    <row r="7" spans="1:70" x14ac:dyDescent="0.35">
      <c r="A7" s="2"/>
      <c r="B7" s="2" t="b">
        <v>0</v>
      </c>
      <c r="C7" s="2" t="s">
        <v>91</v>
      </c>
      <c r="D7" s="4">
        <v>46175.615833333301</v>
      </c>
      <c r="E7" s="5" t="s">
        <v>75</v>
      </c>
      <c r="F7" s="6" t="s">
        <v>116</v>
      </c>
      <c r="G7" s="2" t="s">
        <v>40</v>
      </c>
      <c r="H7" s="3">
        <v>53320.826666666697</v>
      </c>
      <c r="I7" s="3">
        <v>0.57134586305624402</v>
      </c>
      <c r="J7" s="3">
        <v>98.306038282463007</v>
      </c>
      <c r="K7" s="6">
        <v>20774.526666666701</v>
      </c>
      <c r="L7" s="6">
        <v>0.42531465440794503</v>
      </c>
      <c r="M7" s="6">
        <v>99.569309317254096</v>
      </c>
      <c r="N7" s="3">
        <v>6746.96</v>
      </c>
      <c r="O7" s="3">
        <v>2.2146634109363101</v>
      </c>
      <c r="P7" s="3">
        <v>107.57907955117599</v>
      </c>
      <c r="Q7" s="6">
        <v>14395.483333333301</v>
      </c>
      <c r="R7" s="6">
        <v>1.35927411262961</v>
      </c>
      <c r="S7" s="6">
        <v>102.568246777651</v>
      </c>
      <c r="T7" s="3">
        <v>310.33333333333297</v>
      </c>
      <c r="U7" s="3">
        <v>8.9804580240986205</v>
      </c>
      <c r="V7" s="3">
        <v>92.456797600604901</v>
      </c>
      <c r="W7" s="6">
        <v>3699.37</v>
      </c>
      <c r="X7" s="6">
        <v>6.0235050862441399</v>
      </c>
      <c r="Y7" s="6">
        <v>93.401439043390596</v>
      </c>
      <c r="Z7" s="3">
        <v>300115.03999999998</v>
      </c>
      <c r="AA7" s="3">
        <v>0.85167037373221699</v>
      </c>
      <c r="AB7" s="3">
        <v>99.140276014347805</v>
      </c>
      <c r="AC7" s="6">
        <v>132334.01666666701</v>
      </c>
      <c r="AD7" s="6">
        <v>0.109598814500043</v>
      </c>
      <c r="AE7" s="6">
        <v>99.587454682681795</v>
      </c>
      <c r="AF7" s="3">
        <v>989520.42333333299</v>
      </c>
      <c r="AG7" s="3">
        <v>1.0356655696976</v>
      </c>
      <c r="AH7" s="3">
        <v>100.617233561258</v>
      </c>
      <c r="AI7" s="6">
        <v>561643.46</v>
      </c>
      <c r="AJ7" s="6">
        <v>0.33003382215791599</v>
      </c>
      <c r="AK7" s="6">
        <v>98.666896145096004</v>
      </c>
      <c r="AL7" s="3">
        <v>161041.536666667</v>
      </c>
      <c r="AM7" s="3">
        <v>0.63726272086396696</v>
      </c>
      <c r="AN7" s="3">
        <v>99.289158397142799</v>
      </c>
      <c r="AO7" s="6">
        <v>447724.54333333299</v>
      </c>
      <c r="AP7" s="6">
        <v>0.61930245643339499</v>
      </c>
      <c r="AQ7" s="6">
        <v>99.892957089379806</v>
      </c>
      <c r="AR7" s="3">
        <v>58475.21</v>
      </c>
      <c r="AS7" s="3">
        <v>1.21592797338546</v>
      </c>
      <c r="AT7" s="3">
        <v>98.117373420263903</v>
      </c>
      <c r="AU7" s="6">
        <v>64773.84</v>
      </c>
      <c r="AV7" s="6">
        <v>1.3421298349189901</v>
      </c>
      <c r="AW7" s="6">
        <v>98.862509735192504</v>
      </c>
      <c r="AX7" s="3">
        <v>93999.79</v>
      </c>
      <c r="AY7" s="3">
        <v>0.573038402230997</v>
      </c>
      <c r="AZ7" s="3">
        <v>98.709695599415298</v>
      </c>
      <c r="BA7" s="6">
        <v>62033.676666666703</v>
      </c>
      <c r="BB7" s="6">
        <v>1.2387186157178001</v>
      </c>
      <c r="BC7" s="6">
        <v>98.066279718371803</v>
      </c>
      <c r="BD7" s="3">
        <v>1175846.5466666699</v>
      </c>
      <c r="BE7" s="3">
        <v>0.79160105626744104</v>
      </c>
      <c r="BF7" s="3">
        <v>96.644860411005695</v>
      </c>
      <c r="BG7" s="6">
        <v>237014.83333333299</v>
      </c>
      <c r="BH7" s="6">
        <v>0.70582892634941796</v>
      </c>
      <c r="BI7" s="3">
        <v>19535.106666666699</v>
      </c>
      <c r="BJ7" s="3">
        <v>3.1839881730662798</v>
      </c>
      <c r="BK7" s="6">
        <v>56935.77</v>
      </c>
      <c r="BL7" s="6">
        <v>0.86043464486778898</v>
      </c>
      <c r="BM7" s="3">
        <v>5528.58</v>
      </c>
      <c r="BN7" s="3">
        <v>3.62787015551574</v>
      </c>
      <c r="BO7" s="6">
        <v>575020.26</v>
      </c>
      <c r="BP7" s="6">
        <v>1.1380872321762301</v>
      </c>
      <c r="BQ7" s="3">
        <v>674212.3</v>
      </c>
      <c r="BR7" s="3">
        <v>0.74356603534037502</v>
      </c>
    </row>
    <row r="8" spans="1:70" x14ac:dyDescent="0.35">
      <c r="A8" s="2"/>
      <c r="B8" s="2" t="b">
        <v>0</v>
      </c>
      <c r="C8" s="2" t="s">
        <v>25</v>
      </c>
      <c r="D8" s="4">
        <v>46175.618969907402</v>
      </c>
      <c r="E8" s="5" t="s">
        <v>75</v>
      </c>
      <c r="F8" s="6" t="s">
        <v>121</v>
      </c>
      <c r="G8" s="2" t="s">
        <v>99</v>
      </c>
      <c r="H8" s="3">
        <v>94705.293333333306</v>
      </c>
      <c r="I8" s="3">
        <v>0.53869034147945405</v>
      </c>
      <c r="J8" s="3">
        <v>201.445079256799</v>
      </c>
      <c r="K8" s="6">
        <v>40694.449999999997</v>
      </c>
      <c r="L8" s="6">
        <v>1.4334111324038701</v>
      </c>
      <c r="M8" s="6">
        <v>199.63623971062401</v>
      </c>
      <c r="N8" s="3">
        <v>12177.7833333333</v>
      </c>
      <c r="O8" s="3">
        <v>1.26043671393928</v>
      </c>
      <c r="P8" s="3">
        <v>197.93927674536499</v>
      </c>
      <c r="Q8" s="6">
        <v>24373.906666666699</v>
      </c>
      <c r="R8" s="6">
        <v>1.7820578266395299</v>
      </c>
      <c r="S8" s="6">
        <v>202.31726872985499</v>
      </c>
      <c r="T8" s="3">
        <v>592.30666666666696</v>
      </c>
      <c r="U8" s="3">
        <v>8.5070560261060795</v>
      </c>
      <c r="V8" s="3">
        <v>186.67567076638699</v>
      </c>
      <c r="W8" s="6">
        <v>6658.5333333333301</v>
      </c>
      <c r="X8" s="6">
        <v>3.9945398660548102</v>
      </c>
      <c r="Y8" s="6">
        <v>203.176518297309</v>
      </c>
      <c r="Z8" s="3">
        <v>590878.5</v>
      </c>
      <c r="AA8" s="3">
        <v>0.163609898455986</v>
      </c>
      <c r="AB8" s="3">
        <v>200.239301117922</v>
      </c>
      <c r="AC8" s="6">
        <v>261609.61333333299</v>
      </c>
      <c r="AD8" s="6">
        <v>0.17485449725065</v>
      </c>
      <c r="AE8" s="6">
        <v>199.79565771378699</v>
      </c>
      <c r="AF8" s="3">
        <v>1857150.3</v>
      </c>
      <c r="AG8" s="3">
        <v>0.50391377512533297</v>
      </c>
      <c r="AH8" s="3">
        <v>201.85879910400499</v>
      </c>
      <c r="AI8" s="6">
        <v>1117670.2733333299</v>
      </c>
      <c r="AJ8" s="6">
        <v>0.22672519912445199</v>
      </c>
      <c r="AK8" s="6">
        <v>199.09896169016099</v>
      </c>
      <c r="AL8" s="3">
        <v>318841.84999999998</v>
      </c>
      <c r="AM8" s="3">
        <v>0.278843490483276</v>
      </c>
      <c r="AN8" s="3">
        <v>200.643569959883</v>
      </c>
      <c r="AO8" s="6">
        <v>888593.75333333295</v>
      </c>
      <c r="AP8" s="6">
        <v>0.29912891307717399</v>
      </c>
      <c r="AQ8" s="6">
        <v>201.07180463405899</v>
      </c>
      <c r="AR8" s="3">
        <v>116149.226666667</v>
      </c>
      <c r="AS8" s="3">
        <v>0.60615708674531199</v>
      </c>
      <c r="AT8" s="3">
        <v>198.59875960955301</v>
      </c>
      <c r="AU8" s="6">
        <v>130408.94666666701</v>
      </c>
      <c r="AV8" s="6">
        <v>1.65280227368205</v>
      </c>
      <c r="AW8" s="6">
        <v>194.64172596111999</v>
      </c>
      <c r="AX8" s="3">
        <v>188446.99</v>
      </c>
      <c r="AY8" s="3">
        <v>0.22547662571271701</v>
      </c>
      <c r="AZ8" s="3">
        <v>193.512369558149</v>
      </c>
      <c r="BA8" s="6">
        <v>124056.15</v>
      </c>
      <c r="BB8" s="6">
        <v>0.44039675013060903</v>
      </c>
      <c r="BC8" s="6">
        <v>191.81263805507299</v>
      </c>
      <c r="BD8" s="3">
        <v>2379122.14</v>
      </c>
      <c r="BE8" s="3">
        <v>0.70449743640092399</v>
      </c>
      <c r="BF8" s="3">
        <v>197.97525654485099</v>
      </c>
      <c r="BG8" s="6">
        <v>231626.69</v>
      </c>
      <c r="BH8" s="6">
        <v>1.20109944470733</v>
      </c>
      <c r="BI8" s="3">
        <v>19259.4433333333</v>
      </c>
      <c r="BJ8" s="3">
        <v>0.108256206585959</v>
      </c>
      <c r="BK8" s="6">
        <v>57218.91</v>
      </c>
      <c r="BL8" s="6">
        <v>0.48285114661933398</v>
      </c>
      <c r="BM8" s="3">
        <v>5652.0633333333299</v>
      </c>
      <c r="BN8" s="3">
        <v>2.4569386244018001</v>
      </c>
      <c r="BO8" s="6">
        <v>566427.89666666696</v>
      </c>
      <c r="BP8" s="6">
        <v>0.41712565613400698</v>
      </c>
      <c r="BQ8" s="3">
        <v>666176.07333333301</v>
      </c>
      <c r="BR8" s="3">
        <v>0.203307570561678</v>
      </c>
    </row>
    <row r="9" spans="1:70" x14ac:dyDescent="0.35">
      <c r="A9" s="2"/>
      <c r="B9" s="2" t="b">
        <v>0</v>
      </c>
      <c r="C9" s="2" t="s">
        <v>56</v>
      </c>
      <c r="D9" s="4">
        <v>46175.622071759302</v>
      </c>
      <c r="E9" s="5" t="s">
        <v>75</v>
      </c>
      <c r="F9" s="6" t="s">
        <v>119</v>
      </c>
      <c r="G9" s="2" t="s">
        <v>65</v>
      </c>
      <c r="H9" s="3">
        <v>210471.82</v>
      </c>
      <c r="I9" s="3">
        <v>0.332711771012766</v>
      </c>
      <c r="J9" s="3">
        <v>499.74830221649103</v>
      </c>
      <c r="K9" s="6">
        <v>98561.423333333296</v>
      </c>
      <c r="L9" s="6">
        <v>0.37782374298735399</v>
      </c>
      <c r="M9" s="6">
        <v>500.23038189765902</v>
      </c>
      <c r="N9" s="3">
        <v>29725.88</v>
      </c>
      <c r="O9" s="3">
        <v>1.0103608035770999</v>
      </c>
      <c r="P9" s="3">
        <v>498.89844438679597</v>
      </c>
      <c r="Q9" s="6">
        <v>53058.936666666697</v>
      </c>
      <c r="R9" s="6">
        <v>0.54572184108240396</v>
      </c>
      <c r="S9" s="6">
        <v>498.37586571265899</v>
      </c>
      <c r="T9" s="3">
        <v>1520.0166666666701</v>
      </c>
      <c r="U9" s="3">
        <v>10.395233774315599</v>
      </c>
      <c r="V9" s="3">
        <v>506.96783233656203</v>
      </c>
      <c r="W9" s="6">
        <v>14373.8166666667</v>
      </c>
      <c r="X9" s="6">
        <v>1.73100261308895</v>
      </c>
      <c r="Y9" s="6">
        <v>499.51613465305201</v>
      </c>
      <c r="Z9" s="3">
        <v>1424602.93666667</v>
      </c>
      <c r="AA9" s="3">
        <v>0.115764566076204</v>
      </c>
      <c r="AB9" s="3">
        <v>500.03995400307201</v>
      </c>
      <c r="AC9" s="6">
        <v>636195.58666666702</v>
      </c>
      <c r="AD9" s="6">
        <v>0.62238372208756099</v>
      </c>
      <c r="AE9" s="6">
        <v>500.07250076928699</v>
      </c>
      <c r="AF9" s="3">
        <v>4382471.38</v>
      </c>
      <c r="AG9" s="3">
        <v>0.48560221644967</v>
      </c>
      <c r="AH9" s="3">
        <v>499.20355195142599</v>
      </c>
      <c r="AI9" s="6">
        <v>2731929.59333333</v>
      </c>
      <c r="AJ9" s="6">
        <v>0.76015470848684896</v>
      </c>
      <c r="AK9" s="6">
        <v>500.61138251480702</v>
      </c>
      <c r="AL9" s="3">
        <v>769278.79666666698</v>
      </c>
      <c r="AM9" s="3">
        <v>0.765227666643711</v>
      </c>
      <c r="AN9" s="3">
        <v>499.85459248415901</v>
      </c>
      <c r="AO9" s="6">
        <v>2145048.2533333302</v>
      </c>
      <c r="AP9" s="6">
        <v>0.46234565688857898</v>
      </c>
      <c r="AQ9" s="6">
        <v>499.413228939455</v>
      </c>
      <c r="AR9" s="3">
        <v>283932.59999999998</v>
      </c>
      <c r="AS9" s="3">
        <v>0.69117459569122996</v>
      </c>
      <c r="AT9" s="3">
        <v>500.794070569138</v>
      </c>
      <c r="AU9" s="6">
        <v>317043.28999999998</v>
      </c>
      <c r="AV9" s="6">
        <v>0.835006363553223</v>
      </c>
      <c r="AW9" s="6">
        <v>502.40891115827498</v>
      </c>
      <c r="AX9" s="3">
        <v>461386.22666666697</v>
      </c>
      <c r="AY9" s="3">
        <v>0.14880877322774799</v>
      </c>
      <c r="AZ9" s="3">
        <v>503.01556564264598</v>
      </c>
      <c r="BA9" s="6">
        <v>306835.58</v>
      </c>
      <c r="BB9" s="6">
        <v>1.3867958197955199</v>
      </c>
      <c r="BC9" s="6">
        <v>503.75595978144099</v>
      </c>
      <c r="BD9" s="3">
        <v>5953068.4833333297</v>
      </c>
      <c r="BE9" s="3">
        <v>0.70030986684404894</v>
      </c>
      <c r="BF9" s="3">
        <v>501.60704421608699</v>
      </c>
      <c r="BG9" s="6">
        <v>227004.683333333</v>
      </c>
      <c r="BH9" s="6">
        <v>1.02889335729931</v>
      </c>
      <c r="BI9" s="3">
        <v>18729.830000000002</v>
      </c>
      <c r="BJ9" s="3">
        <v>1.8502944037525799</v>
      </c>
      <c r="BK9" s="6">
        <v>56068.153333333299</v>
      </c>
      <c r="BL9" s="6">
        <v>0.62329227291971501</v>
      </c>
      <c r="BM9" s="3">
        <v>5323.2533333333304</v>
      </c>
      <c r="BN9" s="3">
        <v>2.2284095410099098</v>
      </c>
      <c r="BO9" s="6">
        <v>552974.22333333304</v>
      </c>
      <c r="BP9" s="6">
        <v>0.72139371372351102</v>
      </c>
      <c r="BQ9" s="3">
        <v>658052.9</v>
      </c>
      <c r="BR9" s="3">
        <v>0.62439654720010895</v>
      </c>
    </row>
    <row r="10" spans="1:70" x14ac:dyDescent="0.35">
      <c r="A10" s="2"/>
      <c r="B10" s="2" t="b">
        <v>0</v>
      </c>
      <c r="C10" s="2" t="s">
        <v>24</v>
      </c>
      <c r="D10" s="4">
        <v>46175.625208333302</v>
      </c>
      <c r="E10" s="5" t="s">
        <v>28</v>
      </c>
      <c r="F10" s="6" t="s">
        <v>110</v>
      </c>
      <c r="G10" s="2" t="s">
        <v>61</v>
      </c>
      <c r="H10" s="3">
        <v>13331.586666666701</v>
      </c>
      <c r="I10" s="3">
        <v>1.84544199406773</v>
      </c>
      <c r="J10" s="3">
        <v>1.9685545583687301</v>
      </c>
      <c r="K10" s="6">
        <v>113.45333333333301</v>
      </c>
      <c r="L10" s="6">
        <v>21.762928822688</v>
      </c>
      <c r="M10" s="6" t="s">
        <v>32</v>
      </c>
      <c r="N10" s="3">
        <v>90.096666666666707</v>
      </c>
      <c r="O10" s="3">
        <v>14.6996285256809</v>
      </c>
      <c r="P10" s="3">
        <v>0.210797607288679</v>
      </c>
      <c r="Q10" s="6">
        <v>3310.53666666667</v>
      </c>
      <c r="R10" s="6">
        <v>3.0023800336756099</v>
      </c>
      <c r="S10" s="6" t="s">
        <v>32</v>
      </c>
      <c r="T10" s="3">
        <v>5.0066666666666704</v>
      </c>
      <c r="U10" s="3">
        <v>99.966727679775602</v>
      </c>
      <c r="V10" s="3" t="s">
        <v>32</v>
      </c>
      <c r="W10" s="6">
        <v>722.44333333333304</v>
      </c>
      <c r="X10" s="6">
        <v>7.6632273290250197</v>
      </c>
      <c r="Y10" s="6" t="s">
        <v>32</v>
      </c>
      <c r="Z10" s="3">
        <v>7192.6966666666704</v>
      </c>
      <c r="AA10" s="3">
        <v>4.1833351633146698</v>
      </c>
      <c r="AB10" s="3">
        <v>8.7358262720770199E-2</v>
      </c>
      <c r="AC10" s="6">
        <v>268.62</v>
      </c>
      <c r="AD10" s="6">
        <v>15.5165504496183</v>
      </c>
      <c r="AE10" s="6" t="s">
        <v>32</v>
      </c>
      <c r="AF10" s="3">
        <v>87869.313333333295</v>
      </c>
      <c r="AG10" s="3">
        <v>1.17122579816401</v>
      </c>
      <c r="AH10" s="3">
        <v>0.78719146303714804</v>
      </c>
      <c r="AI10" s="6">
        <v>497.19333333333299</v>
      </c>
      <c r="AJ10" s="6">
        <v>14.6695394445675</v>
      </c>
      <c r="AK10" s="6">
        <v>1.7391929558379898E-2</v>
      </c>
      <c r="AL10" s="3">
        <v>2330.9833333333299</v>
      </c>
      <c r="AM10" s="3">
        <v>2.8029855495337301</v>
      </c>
      <c r="AN10" s="3">
        <v>0.12081537458552701</v>
      </c>
      <c r="AO10" s="6">
        <v>927.67333333333295</v>
      </c>
      <c r="AP10" s="6">
        <v>3.5111769774873198</v>
      </c>
      <c r="AQ10" s="6">
        <v>7.2978736450607401E-2</v>
      </c>
      <c r="AR10" s="3">
        <v>438.803333333333</v>
      </c>
      <c r="AS10" s="3">
        <v>6.2816706630957899</v>
      </c>
      <c r="AT10" s="3" t="s">
        <v>32</v>
      </c>
      <c r="AU10" s="6">
        <v>20.02</v>
      </c>
      <c r="AV10" s="6">
        <v>50</v>
      </c>
      <c r="AW10" s="6">
        <v>1.65528828022491E-4</v>
      </c>
      <c r="AX10" s="3">
        <v>31.7</v>
      </c>
      <c r="AY10" s="3">
        <v>32.869209265697201</v>
      </c>
      <c r="AZ10" s="3" t="s">
        <v>32</v>
      </c>
      <c r="BA10" s="6">
        <v>53.386666666666699</v>
      </c>
      <c r="BB10" s="6">
        <v>21.650635094611001</v>
      </c>
      <c r="BC10" s="6" t="s">
        <v>32</v>
      </c>
      <c r="BD10" s="3">
        <v>1284.76</v>
      </c>
      <c r="BE10" s="3">
        <v>5.7835134217777302</v>
      </c>
      <c r="BF10" s="3">
        <v>3.54886239849442E-2</v>
      </c>
      <c r="BG10" s="6">
        <v>228215.16666666701</v>
      </c>
      <c r="BH10" s="6">
        <v>1.70682134458802</v>
      </c>
      <c r="BI10" s="3">
        <v>19344.71</v>
      </c>
      <c r="BJ10" s="3">
        <v>1.6014918829631399</v>
      </c>
      <c r="BK10" s="6">
        <v>679235.87333333294</v>
      </c>
      <c r="BL10" s="6">
        <v>1.08894746540915</v>
      </c>
      <c r="BM10" s="3">
        <v>65848.346666666694</v>
      </c>
      <c r="BN10" s="3">
        <v>0.97987279940266003</v>
      </c>
      <c r="BO10" s="6">
        <v>552303.75666666694</v>
      </c>
      <c r="BP10" s="6">
        <v>1.70435614226419</v>
      </c>
      <c r="BQ10" s="3">
        <v>663978.92000000004</v>
      </c>
      <c r="BR10" s="3">
        <v>0.52289616948571904</v>
      </c>
    </row>
    <row r="11" spans="1:70" x14ac:dyDescent="0.35">
      <c r="A11" s="2"/>
      <c r="B11" s="2" t="b">
        <v>0</v>
      </c>
      <c r="C11" s="2" t="s">
        <v>74</v>
      </c>
      <c r="D11" s="4">
        <v>46175.628206018497</v>
      </c>
      <c r="E11" s="5" t="s">
        <v>28</v>
      </c>
      <c r="F11" s="6" t="s">
        <v>110</v>
      </c>
      <c r="G11" s="2" t="s">
        <v>27</v>
      </c>
      <c r="H11" s="3">
        <v>189501.75</v>
      </c>
      <c r="I11" s="3">
        <v>0.400823000962784</v>
      </c>
      <c r="J11" s="3">
        <v>444.004757212752</v>
      </c>
      <c r="K11" s="6">
        <v>21925.766666666699</v>
      </c>
      <c r="L11" s="6">
        <v>1.9136782066073299</v>
      </c>
      <c r="M11" s="6">
        <v>109.087232989214</v>
      </c>
      <c r="N11" s="3">
        <v>52877.316666666702</v>
      </c>
      <c r="O11" s="3">
        <v>1.4265773522454901</v>
      </c>
      <c r="P11" s="3">
        <v>882.96742215840902</v>
      </c>
      <c r="Q11" s="6">
        <v>17630.7</v>
      </c>
      <c r="R11" s="6">
        <v>0.37843196575704302</v>
      </c>
      <c r="S11" s="6">
        <v>140.0727213863</v>
      </c>
      <c r="T11" s="3">
        <v>265.28333333333302</v>
      </c>
      <c r="U11" s="3">
        <v>8.2263637377623091</v>
      </c>
      <c r="V11" s="3">
        <v>80.759174676727696</v>
      </c>
      <c r="W11" s="6">
        <v>4178.3366666666698</v>
      </c>
      <c r="X11" s="6">
        <v>4.2606132731097199</v>
      </c>
      <c r="Y11" s="6">
        <v>116.10714095732401</v>
      </c>
      <c r="Z11" s="3">
        <v>17001.099999999999</v>
      </c>
      <c r="AA11" s="3">
        <v>1.6070923422386201</v>
      </c>
      <c r="AB11" s="3">
        <v>3.5906034639275402</v>
      </c>
      <c r="AC11" s="6">
        <v>1421.56666666667</v>
      </c>
      <c r="AD11" s="6">
        <v>2.8169625134741798</v>
      </c>
      <c r="AE11" s="6">
        <v>0.86877883755468599</v>
      </c>
      <c r="AF11" s="3">
        <v>568920.02</v>
      </c>
      <c r="AG11" s="3">
        <v>0.27945385323946798</v>
      </c>
      <c r="AH11" s="3">
        <v>56.012155252344201</v>
      </c>
      <c r="AI11" s="6">
        <v>397.09333333333302</v>
      </c>
      <c r="AJ11" s="6">
        <v>4.0528231152465004</v>
      </c>
      <c r="AK11" s="6">
        <v>1.6584256058902E-3</v>
      </c>
      <c r="AL11" s="3">
        <v>1726.9266666666699</v>
      </c>
      <c r="AM11" s="3">
        <v>4.6014258954491796</v>
      </c>
      <c r="AN11" s="3" t="s">
        <v>32</v>
      </c>
      <c r="AO11" s="6">
        <v>144183.376666667</v>
      </c>
      <c r="AP11" s="6">
        <v>1.2985422686981201</v>
      </c>
      <c r="AQ11" s="6">
        <v>33.236941746425998</v>
      </c>
      <c r="AR11" s="3">
        <v>11025.7833333333</v>
      </c>
      <c r="AS11" s="3">
        <v>2.2150093982733798</v>
      </c>
      <c r="AT11" s="3">
        <v>18.383565185046201</v>
      </c>
      <c r="AU11" s="6">
        <v>133.47333333333299</v>
      </c>
      <c r="AV11" s="6">
        <v>5.7295686005883901</v>
      </c>
      <c r="AW11" s="6">
        <v>0.20363340227221</v>
      </c>
      <c r="AX11" s="3">
        <v>38.376666666666701</v>
      </c>
      <c r="AY11" s="3">
        <v>15.059349069542799</v>
      </c>
      <c r="AZ11" s="3">
        <v>2.9157620681926E-2</v>
      </c>
      <c r="BA11" s="6">
        <v>1940.5233333333299</v>
      </c>
      <c r="BB11" s="6">
        <v>2.7100595847853799</v>
      </c>
      <c r="BC11" s="6">
        <v>3.0619208183907398</v>
      </c>
      <c r="BD11" s="3">
        <v>680463.57333333301</v>
      </c>
      <c r="BE11" s="3">
        <v>0.45696858348319802</v>
      </c>
      <c r="BF11" s="3">
        <v>55.993973833474399</v>
      </c>
      <c r="BG11" s="6">
        <v>229260.5</v>
      </c>
      <c r="BH11" s="6">
        <v>0.28719048987755502</v>
      </c>
      <c r="BI11" s="3">
        <v>18841.856666666699</v>
      </c>
      <c r="BJ11" s="3">
        <v>1.5900675590764199</v>
      </c>
      <c r="BK11" s="6">
        <v>57012.983333333301</v>
      </c>
      <c r="BL11" s="6">
        <v>1.49105954388899</v>
      </c>
      <c r="BM11" s="3">
        <v>5471.8333333333303</v>
      </c>
      <c r="BN11" s="3">
        <v>2.7766921847757202</v>
      </c>
      <c r="BO11" s="6">
        <v>556926.28666666697</v>
      </c>
      <c r="BP11" s="6">
        <v>0.292783938446119</v>
      </c>
      <c r="BQ11" s="3">
        <v>673066.82</v>
      </c>
      <c r="BR11" s="3">
        <v>0.723723514726064</v>
      </c>
    </row>
    <row r="12" spans="1:70" x14ac:dyDescent="0.35">
      <c r="A12" s="2"/>
      <c r="B12" s="2" t="b">
        <v>0</v>
      </c>
      <c r="C12" s="2" t="s">
        <v>69</v>
      </c>
      <c r="D12" s="4">
        <v>46175.631261574097</v>
      </c>
      <c r="E12" s="5" t="s">
        <v>28</v>
      </c>
      <c r="F12" s="6" t="s">
        <v>110</v>
      </c>
      <c r="G12" s="2" t="s">
        <v>77</v>
      </c>
      <c r="H12" s="3">
        <v>167768.72</v>
      </c>
      <c r="I12" s="3">
        <v>0.56510727968565799</v>
      </c>
      <c r="J12" s="3">
        <v>393.869994417898</v>
      </c>
      <c r="K12" s="6">
        <v>17049.296666666702</v>
      </c>
      <c r="L12" s="6">
        <v>0.66761930315270401</v>
      </c>
      <c r="M12" s="6">
        <v>85.273413416655103</v>
      </c>
      <c r="N12" s="3">
        <v>5800.5733333333301</v>
      </c>
      <c r="O12" s="3">
        <v>2.2515946187487201</v>
      </c>
      <c r="P12" s="3">
        <v>96.740688497506099</v>
      </c>
      <c r="Q12" s="6">
        <v>22796.516666666699</v>
      </c>
      <c r="R12" s="6">
        <v>1.2219734781035401</v>
      </c>
      <c r="S12" s="6">
        <v>194.24113820833301</v>
      </c>
      <c r="T12" s="3">
        <v>105.11</v>
      </c>
      <c r="U12" s="3">
        <v>34.3369501164442</v>
      </c>
      <c r="V12" s="3">
        <v>27.3971169903669</v>
      </c>
      <c r="W12" s="6">
        <v>2487.83</v>
      </c>
      <c r="X12" s="6">
        <v>4.2833616131183803</v>
      </c>
      <c r="Y12" s="6">
        <v>54.060480538540403</v>
      </c>
      <c r="Z12" s="3">
        <v>35759.403333333299</v>
      </c>
      <c r="AA12" s="3">
        <v>2.9114117608824799</v>
      </c>
      <c r="AB12" s="3">
        <v>10.2978722151488</v>
      </c>
      <c r="AC12" s="6">
        <v>2422.7533333333299</v>
      </c>
      <c r="AD12" s="6">
        <v>1.44608201077962</v>
      </c>
      <c r="AE12" s="6">
        <v>1.67106120325038</v>
      </c>
      <c r="AF12" s="3">
        <v>1035776.01</v>
      </c>
      <c r="AG12" s="3">
        <v>1.1061814463723001</v>
      </c>
      <c r="AH12" s="3">
        <v>109.874384068826</v>
      </c>
      <c r="AI12" s="6">
        <v>2232.5233333333299</v>
      </c>
      <c r="AJ12" s="6">
        <v>6.3932494560233</v>
      </c>
      <c r="AK12" s="6">
        <v>0.33984911071810903</v>
      </c>
      <c r="AL12" s="3">
        <v>21037.279999999999</v>
      </c>
      <c r="AM12" s="3">
        <v>1.2330067340849</v>
      </c>
      <c r="AN12" s="3">
        <v>12.4180539220919</v>
      </c>
      <c r="AO12" s="6">
        <v>119994.903333333</v>
      </c>
      <c r="AP12" s="6">
        <v>0.84283128311586897</v>
      </c>
      <c r="AQ12" s="6">
        <v>27.9308497348025</v>
      </c>
      <c r="AR12" s="3">
        <v>7140.9466666666704</v>
      </c>
      <c r="AS12" s="3">
        <v>3.1547406337278501</v>
      </c>
      <c r="AT12" s="3">
        <v>11.679464703300701</v>
      </c>
      <c r="AU12" s="6">
        <v>23.36</v>
      </c>
      <c r="AV12" s="6">
        <v>68.868952454931602</v>
      </c>
      <c r="AW12" s="6">
        <v>3.3466459384412499E-2</v>
      </c>
      <c r="AX12" s="3">
        <v>26.696666666666701</v>
      </c>
      <c r="AY12" s="3">
        <v>47.170650906625703</v>
      </c>
      <c r="AZ12" s="3">
        <v>1.65754998157581E-2</v>
      </c>
      <c r="BA12" s="6">
        <v>1905.47</v>
      </c>
      <c r="BB12" s="6">
        <v>8.8406043361602205</v>
      </c>
      <c r="BC12" s="6">
        <v>2.99777497179634</v>
      </c>
      <c r="BD12" s="3">
        <v>670396.63</v>
      </c>
      <c r="BE12" s="3">
        <v>0.47023853118294201</v>
      </c>
      <c r="BF12" s="3">
        <v>55.467745133869499</v>
      </c>
      <c r="BG12" s="6">
        <v>228835.17</v>
      </c>
      <c r="BH12" s="6">
        <v>1.1202814091640001</v>
      </c>
      <c r="BI12" s="3">
        <v>18656.386666666702</v>
      </c>
      <c r="BJ12" s="3">
        <v>2.6754504999121802</v>
      </c>
      <c r="BK12" s="6">
        <v>57435.22</v>
      </c>
      <c r="BL12" s="6">
        <v>0.56997502817912904</v>
      </c>
      <c r="BM12" s="3">
        <v>5483.4966666666696</v>
      </c>
      <c r="BN12" s="3">
        <v>0.77640040407041899</v>
      </c>
      <c r="BO12" s="6">
        <v>559170.11</v>
      </c>
      <c r="BP12" s="6">
        <v>0.62668823786084005</v>
      </c>
      <c r="BQ12" s="3">
        <v>669379.57999999996</v>
      </c>
      <c r="BR12" s="3">
        <v>0.22175693974643401</v>
      </c>
    </row>
    <row r="13" spans="1:70" x14ac:dyDescent="0.35">
      <c r="A13" s="2"/>
      <c r="B13" s="2" t="b">
        <v>0</v>
      </c>
      <c r="C13" s="2" t="s">
        <v>72</v>
      </c>
      <c r="D13" s="4">
        <v>46175.634259259299</v>
      </c>
      <c r="E13" s="5" t="s">
        <v>28</v>
      </c>
      <c r="F13" s="6" t="s">
        <v>110</v>
      </c>
      <c r="G13" s="2" t="s">
        <v>82</v>
      </c>
      <c r="H13" s="3">
        <v>424231.75</v>
      </c>
      <c r="I13" s="3">
        <v>0.35392519506936498</v>
      </c>
      <c r="J13" s="3">
        <v>1054.78307651968</v>
      </c>
      <c r="K13" s="6">
        <v>24420.656666666699</v>
      </c>
      <c r="L13" s="6">
        <v>1.1490455147851399</v>
      </c>
      <c r="M13" s="6">
        <v>124.37897035973199</v>
      </c>
      <c r="N13" s="3">
        <v>20833.05</v>
      </c>
      <c r="O13" s="3">
        <v>1.15399231952882</v>
      </c>
      <c r="P13" s="3">
        <v>354.67126114382398</v>
      </c>
      <c r="Q13" s="6">
        <v>19142.413333333301</v>
      </c>
      <c r="R13" s="6">
        <v>1.3282075257241599</v>
      </c>
      <c r="S13" s="6">
        <v>159.337683752071</v>
      </c>
      <c r="T13" s="3">
        <v>317.006666666667</v>
      </c>
      <c r="U13" s="3">
        <v>3.28634667696091</v>
      </c>
      <c r="V13" s="3">
        <v>100.53484923492501</v>
      </c>
      <c r="W13" s="6">
        <v>6453.2466666666696</v>
      </c>
      <c r="X13" s="6">
        <v>2.7582777845386799</v>
      </c>
      <c r="Y13" s="6">
        <v>206.141990971166</v>
      </c>
      <c r="Z13" s="3">
        <v>71644.186666666705</v>
      </c>
      <c r="AA13" s="3">
        <v>0.96491236480495801</v>
      </c>
      <c r="AB13" s="3">
        <v>23.289871642115699</v>
      </c>
      <c r="AC13" s="6">
        <v>5825.6433333333298</v>
      </c>
      <c r="AD13" s="6">
        <v>2.3700416845634402</v>
      </c>
      <c r="AE13" s="6">
        <v>4.4097559554731998</v>
      </c>
      <c r="AF13" s="3">
        <v>2404661.4533333299</v>
      </c>
      <c r="AG13" s="3">
        <v>0.76648077997317299</v>
      </c>
      <c r="AH13" s="3">
        <v>266.11714412820299</v>
      </c>
      <c r="AI13" s="6">
        <v>1673.5266666666701</v>
      </c>
      <c r="AJ13" s="6">
        <v>2.4904865605644302</v>
      </c>
      <c r="AK13" s="6">
        <v>0.24073541302762999</v>
      </c>
      <c r="AL13" s="3">
        <v>31144.363333333298</v>
      </c>
      <c r="AM13" s="3">
        <v>0.96446487226064703</v>
      </c>
      <c r="AN13" s="3">
        <v>19.2549415326664</v>
      </c>
      <c r="AO13" s="6">
        <v>2501071.5833333302</v>
      </c>
      <c r="AP13" s="6">
        <v>0.33420527435175401</v>
      </c>
      <c r="AQ13" s="6">
        <v>591.33467937520402</v>
      </c>
      <c r="AR13" s="3">
        <v>10501.54</v>
      </c>
      <c r="AS13" s="3">
        <v>1.8669850805991099</v>
      </c>
      <c r="AT13" s="3">
        <v>17.8604993538499</v>
      </c>
      <c r="AU13" s="6">
        <v>55.0566666666667</v>
      </c>
      <c r="AV13" s="6">
        <v>32.771709118750401</v>
      </c>
      <c r="AW13" s="6">
        <v>8.2665983485833996E-2</v>
      </c>
      <c r="AX13" s="3">
        <v>58.393333333333302</v>
      </c>
      <c r="AY13" s="3">
        <v>27.554277651842298</v>
      </c>
      <c r="AZ13" s="3">
        <v>5.0678994400178298E-2</v>
      </c>
      <c r="BA13" s="6">
        <v>2628.0233333333299</v>
      </c>
      <c r="BB13" s="6">
        <v>7.8014231872458204</v>
      </c>
      <c r="BC13" s="6">
        <v>4.1670218039589102</v>
      </c>
      <c r="BD13" s="3">
        <v>1744727.91</v>
      </c>
      <c r="BE13" s="3">
        <v>0.58230240602134797</v>
      </c>
      <c r="BF13" s="3">
        <v>143.60266349369601</v>
      </c>
      <c r="BG13" s="6">
        <v>229952.89666666699</v>
      </c>
      <c r="BH13" s="6">
        <v>1.3166235689299399</v>
      </c>
      <c r="BI13" s="3">
        <v>18442.633333333299</v>
      </c>
      <c r="BJ13" s="3">
        <v>1.13185965879725</v>
      </c>
      <c r="BK13" s="6">
        <v>57344.57</v>
      </c>
      <c r="BL13" s="6">
        <v>0.80315046077464503</v>
      </c>
      <c r="BM13" s="3">
        <v>5466.8366666666698</v>
      </c>
      <c r="BN13" s="3">
        <v>2.6757312226424599</v>
      </c>
      <c r="BO13" s="6">
        <v>560771.04666666698</v>
      </c>
      <c r="BP13" s="6">
        <v>0.99395775896165295</v>
      </c>
      <c r="BQ13" s="3">
        <v>673433.02333333297</v>
      </c>
      <c r="BR13" s="3">
        <v>0.69465778319440596</v>
      </c>
    </row>
    <row r="14" spans="1:70" x14ac:dyDescent="0.35">
      <c r="A14" s="2"/>
      <c r="B14" s="2" t="b">
        <v>0</v>
      </c>
      <c r="C14" s="2" t="s">
        <v>96</v>
      </c>
      <c r="D14" s="4">
        <v>46175.637314814798</v>
      </c>
      <c r="E14" s="5" t="s">
        <v>28</v>
      </c>
      <c r="F14" s="6" t="s">
        <v>110</v>
      </c>
      <c r="G14" s="2" t="s">
        <v>112</v>
      </c>
      <c r="H14" s="3">
        <v>373604.11333333299</v>
      </c>
      <c r="I14" s="3">
        <v>0.96219713932733497</v>
      </c>
      <c r="J14" s="3">
        <v>934.86629913701597</v>
      </c>
      <c r="K14" s="6">
        <v>25513.543333333299</v>
      </c>
      <c r="L14" s="6">
        <v>0.53409418540590903</v>
      </c>
      <c r="M14" s="6">
        <v>131.370793368677</v>
      </c>
      <c r="N14" s="3">
        <v>12298</v>
      </c>
      <c r="O14" s="3">
        <v>3.6661652307949102</v>
      </c>
      <c r="P14" s="3">
        <v>210.91926845125201</v>
      </c>
      <c r="Q14" s="6">
        <v>24318.796666666702</v>
      </c>
      <c r="R14" s="6">
        <v>1.26303850792377</v>
      </c>
      <c r="S14" s="6">
        <v>214.861276279458</v>
      </c>
      <c r="T14" s="3">
        <v>278.63</v>
      </c>
      <c r="U14" s="3">
        <v>13.6025447513614</v>
      </c>
      <c r="V14" s="3">
        <v>88.3656150279038</v>
      </c>
      <c r="W14" s="6">
        <v>5678.7233333333297</v>
      </c>
      <c r="X14" s="6">
        <v>1.71985176716747</v>
      </c>
      <c r="Y14" s="6">
        <v>178.82015347732499</v>
      </c>
      <c r="Z14" s="3">
        <v>52339.44</v>
      </c>
      <c r="AA14" s="3">
        <v>1.7280550604335501</v>
      </c>
      <c r="AB14" s="3">
        <v>16.565727319864301</v>
      </c>
      <c r="AC14" s="6">
        <v>3060.2166666666699</v>
      </c>
      <c r="AD14" s="6">
        <v>2.78258283100139</v>
      </c>
      <c r="AE14" s="6">
        <v>2.2266494552915401</v>
      </c>
      <c r="AF14" s="3">
        <v>1618266.71</v>
      </c>
      <c r="AG14" s="3">
        <v>0.59069153839502597</v>
      </c>
      <c r="AH14" s="3">
        <v>180.40240467246699</v>
      </c>
      <c r="AI14" s="6">
        <v>1832.0533333333301</v>
      </c>
      <c r="AJ14" s="6">
        <v>8.3102525159885197</v>
      </c>
      <c r="AK14" s="6">
        <v>0.27374062587953402</v>
      </c>
      <c r="AL14" s="3">
        <v>18142.05</v>
      </c>
      <c r="AM14" s="3">
        <v>2.3753860952994401</v>
      </c>
      <c r="AN14" s="3">
        <v>10.7735325619728</v>
      </c>
      <c r="AO14" s="6">
        <v>869665.25333333295</v>
      </c>
      <c r="AP14" s="6">
        <v>0.92390428497680299</v>
      </c>
      <c r="AQ14" s="6">
        <v>207.602117087419</v>
      </c>
      <c r="AR14" s="3">
        <v>6980.7033333333302</v>
      </c>
      <c r="AS14" s="3">
        <v>3.02142434377657</v>
      </c>
      <c r="AT14" s="3">
        <v>11.6648785118236</v>
      </c>
      <c r="AU14" s="6">
        <v>33.369999999999997</v>
      </c>
      <c r="AV14" s="6">
        <v>8.6680397022478601</v>
      </c>
      <c r="AW14" s="6">
        <v>4.8148810410426297E-2</v>
      </c>
      <c r="AX14" s="3">
        <v>31.7</v>
      </c>
      <c r="AY14" s="3">
        <v>63.818149629036299</v>
      </c>
      <c r="AZ14" s="3">
        <v>2.1621708823082401E-2</v>
      </c>
      <c r="BA14" s="6">
        <v>3913.0133333333301</v>
      </c>
      <c r="BB14" s="6">
        <v>2.2064174854015</v>
      </c>
      <c r="BC14" s="6">
        <v>6.1112837318315902</v>
      </c>
      <c r="BD14" s="3">
        <v>1463572.11666667</v>
      </c>
      <c r="BE14" s="3">
        <v>1.07453570259607</v>
      </c>
      <c r="BF14" s="3">
        <v>120.402454497995</v>
      </c>
      <c r="BG14" s="6">
        <v>224645.713333333</v>
      </c>
      <c r="BH14" s="6">
        <v>0.81912544138384003</v>
      </c>
      <c r="BI14" s="3">
        <v>18257.196666666699</v>
      </c>
      <c r="BJ14" s="3">
        <v>0.78037357217395797</v>
      </c>
      <c r="BK14" s="6">
        <v>57230.89</v>
      </c>
      <c r="BL14" s="6">
        <v>1.38663752931576</v>
      </c>
      <c r="BM14" s="3">
        <v>5565.3</v>
      </c>
      <c r="BN14" s="3">
        <v>3.3357073091099401</v>
      </c>
      <c r="BO14" s="6">
        <v>552133.42333333299</v>
      </c>
      <c r="BP14" s="6">
        <v>0.43656533406583597</v>
      </c>
      <c r="BQ14" s="3">
        <v>673686.6</v>
      </c>
      <c r="BR14" s="3">
        <v>0.52542490985781598</v>
      </c>
    </row>
    <row r="15" spans="1:70" x14ac:dyDescent="0.35">
      <c r="A15" s="2"/>
      <c r="B15" s="2" t="b">
        <v>0</v>
      </c>
      <c r="C15" s="2" t="s">
        <v>85</v>
      </c>
      <c r="D15" s="4">
        <v>46175.6403125</v>
      </c>
      <c r="E15" s="5" t="s">
        <v>28</v>
      </c>
      <c r="F15" s="6" t="s">
        <v>110</v>
      </c>
      <c r="G15" s="2" t="s">
        <v>98</v>
      </c>
      <c r="H15" s="3">
        <v>689947.566666667</v>
      </c>
      <c r="I15" s="3">
        <v>0.24808673395262401</v>
      </c>
      <c r="J15" s="3">
        <v>1759.09506513828</v>
      </c>
      <c r="K15" s="6">
        <v>28124.153333333299</v>
      </c>
      <c r="L15" s="6">
        <v>0.95942612010193795</v>
      </c>
      <c r="M15" s="6">
        <v>145.56527339141499</v>
      </c>
      <c r="N15" s="3">
        <v>22387.026666666701</v>
      </c>
      <c r="O15" s="3">
        <v>1.14043549331528</v>
      </c>
      <c r="P15" s="3">
        <v>386.50428695790202</v>
      </c>
      <c r="Q15" s="6">
        <v>21424.6</v>
      </c>
      <c r="R15" s="6">
        <v>1.82173263648573</v>
      </c>
      <c r="S15" s="6">
        <v>185.79081509665801</v>
      </c>
      <c r="T15" s="3">
        <v>218.56333333333299</v>
      </c>
      <c r="U15" s="3">
        <v>30.922576684176899</v>
      </c>
      <c r="V15" s="3">
        <v>67.6845350332094</v>
      </c>
      <c r="W15" s="6">
        <v>4620.59</v>
      </c>
      <c r="X15" s="6">
        <v>1.8988621617908901</v>
      </c>
      <c r="Y15" s="6">
        <v>138.82069644760699</v>
      </c>
      <c r="Z15" s="3">
        <v>25176.303333333301</v>
      </c>
      <c r="AA15" s="3">
        <v>1.0119476112447201</v>
      </c>
      <c r="AB15" s="3">
        <v>6.7734284195008003</v>
      </c>
      <c r="AC15" s="6">
        <v>4031.46333333333</v>
      </c>
      <c r="AD15" s="6">
        <v>3.16667455968178</v>
      </c>
      <c r="AE15" s="6">
        <v>3.02196469956057</v>
      </c>
      <c r="AF15" s="3">
        <v>2944089.04</v>
      </c>
      <c r="AG15" s="3">
        <v>0.91697182104989206</v>
      </c>
      <c r="AH15" s="3">
        <v>337.67181191416302</v>
      </c>
      <c r="AI15" s="6">
        <v>427.12333333333299</v>
      </c>
      <c r="AJ15" s="6">
        <v>10.503689692133699</v>
      </c>
      <c r="AK15" s="6">
        <v>9.8821825881362305E-3</v>
      </c>
      <c r="AL15" s="3">
        <v>2334.3233333333301</v>
      </c>
      <c r="AM15" s="3">
        <v>2.0608186869971101</v>
      </c>
      <c r="AN15" s="3">
        <v>0.215771425674601</v>
      </c>
      <c r="AO15" s="6">
        <v>6491882.2766666701</v>
      </c>
      <c r="AP15" s="6">
        <v>0.56095128366971303</v>
      </c>
      <c r="AQ15" s="6">
        <v>1556.41611017029</v>
      </c>
      <c r="AR15" s="3">
        <v>10119.18</v>
      </c>
      <c r="AS15" s="3">
        <v>2.65664165625074</v>
      </c>
      <c r="AT15" s="3">
        <v>17.424612849691201</v>
      </c>
      <c r="AU15" s="6">
        <v>68.403333333333293</v>
      </c>
      <c r="AV15" s="6">
        <v>15.230161379676501</v>
      </c>
      <c r="AW15" s="6">
        <v>0.105376823291642</v>
      </c>
      <c r="AX15" s="3">
        <v>21.69</v>
      </c>
      <c r="AY15" s="3">
        <v>35.2378139195649</v>
      </c>
      <c r="AZ15" s="3">
        <v>1.18855392820585E-2</v>
      </c>
      <c r="BA15" s="6">
        <v>3302.2</v>
      </c>
      <c r="BB15" s="6">
        <v>3.1086686692390102</v>
      </c>
      <c r="BC15" s="6">
        <v>5.3605174420765902</v>
      </c>
      <c r="BD15" s="3">
        <v>4603504.3333333302</v>
      </c>
      <c r="BE15" s="3">
        <v>0.53735285422176304</v>
      </c>
      <c r="BF15" s="3">
        <v>381.56047068333601</v>
      </c>
      <c r="BG15" s="6">
        <v>224707.936666667</v>
      </c>
      <c r="BH15" s="6">
        <v>8.7487653657121207</v>
      </c>
      <c r="BI15" s="3">
        <v>18188.84</v>
      </c>
      <c r="BJ15" s="3">
        <v>0.72486347114914396</v>
      </c>
      <c r="BK15" s="6">
        <v>56273.216666666704</v>
      </c>
      <c r="BL15" s="6">
        <v>7.8282595784891198</v>
      </c>
      <c r="BM15" s="3">
        <v>5344.96</v>
      </c>
      <c r="BN15" s="3">
        <v>1.9227835431446201</v>
      </c>
      <c r="BO15" s="6">
        <v>555050.75</v>
      </c>
      <c r="BP15" s="6">
        <v>6.03281815826191</v>
      </c>
      <c r="BQ15" s="3">
        <v>668959.30333333299</v>
      </c>
      <c r="BR15" s="3">
        <v>0.496179613457915</v>
      </c>
    </row>
    <row r="16" spans="1:70" x14ac:dyDescent="0.35">
      <c r="A16" s="2"/>
      <c r="B16" s="2" t="b">
        <v>0</v>
      </c>
      <c r="C16" s="2" t="s">
        <v>9</v>
      </c>
      <c r="D16" s="4">
        <v>46175.643379629597</v>
      </c>
      <c r="E16" s="5" t="s">
        <v>28</v>
      </c>
      <c r="F16" s="6" t="s">
        <v>110</v>
      </c>
      <c r="G16" s="2" t="s">
        <v>34</v>
      </c>
      <c r="H16" s="3">
        <v>312092.65000000002</v>
      </c>
      <c r="I16" s="3">
        <v>0.31343968294429603</v>
      </c>
      <c r="J16" s="3">
        <v>764.73222246280898</v>
      </c>
      <c r="K16" s="6">
        <v>23224.096666666701</v>
      </c>
      <c r="L16" s="6">
        <v>1.29968363911577</v>
      </c>
      <c r="M16" s="6">
        <v>117.701502016859</v>
      </c>
      <c r="N16" s="3">
        <v>8887</v>
      </c>
      <c r="O16" s="3">
        <v>2.0165612171791598</v>
      </c>
      <c r="P16" s="3">
        <v>149.92392814968301</v>
      </c>
      <c r="Q16" s="6">
        <v>21733.88</v>
      </c>
      <c r="R16" s="6">
        <v>1.2696329555860499</v>
      </c>
      <c r="S16" s="6">
        <v>184.97774577391399</v>
      </c>
      <c r="T16" s="3">
        <v>216.89666666666699</v>
      </c>
      <c r="U16" s="3">
        <v>11.841728747135701</v>
      </c>
      <c r="V16" s="3">
        <v>65.850107200006093</v>
      </c>
      <c r="W16" s="6">
        <v>4663.9666666666699</v>
      </c>
      <c r="X16" s="6">
        <v>0.80603655910740601</v>
      </c>
      <c r="Y16" s="6">
        <v>137.32771001243799</v>
      </c>
      <c r="Z16" s="3">
        <v>24183.66</v>
      </c>
      <c r="AA16" s="3">
        <v>0.83810430531397995</v>
      </c>
      <c r="AB16" s="3">
        <v>6.2580381930111804</v>
      </c>
      <c r="AC16" s="6">
        <v>1773.64333333333</v>
      </c>
      <c r="AD16" s="6">
        <v>2.8543563609119902</v>
      </c>
      <c r="AE16" s="6">
        <v>1.1680855325430199</v>
      </c>
      <c r="AF16" s="3">
        <v>1021634.80666667</v>
      </c>
      <c r="AG16" s="3">
        <v>1.02424315263111</v>
      </c>
      <c r="AH16" s="3">
        <v>110.076587343112</v>
      </c>
      <c r="AI16" s="6">
        <v>338.69333333333299</v>
      </c>
      <c r="AJ16" s="6">
        <v>16.212518867116099</v>
      </c>
      <c r="AK16" s="6" t="s">
        <v>32</v>
      </c>
      <c r="AL16" s="3">
        <v>3435.6966666666699</v>
      </c>
      <c r="AM16" s="3">
        <v>1.94052026991135</v>
      </c>
      <c r="AN16" s="3">
        <v>0.91373751374397405</v>
      </c>
      <c r="AO16" s="6">
        <v>927901.32333333301</v>
      </c>
      <c r="AP16" s="6">
        <v>0.32409691548503899</v>
      </c>
      <c r="AQ16" s="6">
        <v>218.42575439919401</v>
      </c>
      <c r="AR16" s="3">
        <v>6974.05666666667</v>
      </c>
      <c r="AS16" s="3">
        <v>2.7025709674942902</v>
      </c>
      <c r="AT16" s="3">
        <v>11.4787238809451</v>
      </c>
      <c r="AU16" s="6">
        <v>36.706666666666699</v>
      </c>
      <c r="AV16" s="6">
        <v>39.3690807423257</v>
      </c>
      <c r="AW16" s="6">
        <v>5.6657911670251797E-2</v>
      </c>
      <c r="AX16" s="3">
        <v>23.36</v>
      </c>
      <c r="AY16" s="3">
        <v>12.3823837698632</v>
      </c>
      <c r="AZ16" s="3">
        <v>1.40560716583815E-2</v>
      </c>
      <c r="BA16" s="6">
        <v>2335.9966666666701</v>
      </c>
      <c r="BB16" s="6">
        <v>5.8503471861486398</v>
      </c>
      <c r="BC16" s="6">
        <v>3.8171219378708101</v>
      </c>
      <c r="BD16" s="3">
        <v>1313600.8600000001</v>
      </c>
      <c r="BE16" s="3">
        <v>0.46288525530694202</v>
      </c>
      <c r="BF16" s="3">
        <v>108.101914491383</v>
      </c>
      <c r="BG16" s="6">
        <v>225324.06</v>
      </c>
      <c r="BH16" s="6">
        <v>0.37065066842237299</v>
      </c>
      <c r="BI16" s="3">
        <v>18519.4233333333</v>
      </c>
      <c r="BJ16" s="3">
        <v>2.1382290998679698</v>
      </c>
      <c r="BK16" s="6">
        <v>56220.823333333297</v>
      </c>
      <c r="BL16" s="6">
        <v>1.6176017494014301</v>
      </c>
      <c r="BM16" s="3">
        <v>5303.2633333333297</v>
      </c>
      <c r="BN16" s="3">
        <v>4.2848512813783604</v>
      </c>
      <c r="BO16" s="6">
        <v>552965.34333333303</v>
      </c>
      <c r="BP16" s="6">
        <v>0.52806492813407901</v>
      </c>
      <c r="BQ16" s="3">
        <v>673417.67333333299</v>
      </c>
      <c r="BR16" s="3">
        <v>0.43261703835635501</v>
      </c>
    </row>
    <row r="17" spans="1:70" x14ac:dyDescent="0.35">
      <c r="A17" s="2"/>
      <c r="B17" s="2" t="b">
        <v>0</v>
      </c>
      <c r="C17" s="2" t="s">
        <v>48</v>
      </c>
      <c r="D17" s="4">
        <v>46175.646377314799</v>
      </c>
      <c r="E17" s="5" t="s">
        <v>28</v>
      </c>
      <c r="F17" s="6" t="s">
        <v>110</v>
      </c>
      <c r="G17" s="2" t="s">
        <v>6</v>
      </c>
      <c r="H17" s="3">
        <v>195675.51</v>
      </c>
      <c r="I17" s="3">
        <v>0.71650305972391504</v>
      </c>
      <c r="J17" s="3">
        <v>478.54912896977902</v>
      </c>
      <c r="K17" s="6">
        <v>21763.816666666698</v>
      </c>
      <c r="L17" s="6">
        <v>1.99198903123686</v>
      </c>
      <c r="M17" s="6">
        <v>112.54331468105001</v>
      </c>
      <c r="N17" s="3">
        <v>5720.44</v>
      </c>
      <c r="O17" s="3">
        <v>2.16977930537867</v>
      </c>
      <c r="P17" s="3">
        <v>98.144336766881594</v>
      </c>
      <c r="Q17" s="6">
        <v>22250.19</v>
      </c>
      <c r="R17" s="6">
        <v>0.56468917935053098</v>
      </c>
      <c r="S17" s="6">
        <v>195.035919118533</v>
      </c>
      <c r="T17" s="3">
        <v>146.82333333333301</v>
      </c>
      <c r="U17" s="3">
        <v>10.4142354091102</v>
      </c>
      <c r="V17" s="3">
        <v>42.8352195104763</v>
      </c>
      <c r="W17" s="6">
        <v>3145.3166666666698</v>
      </c>
      <c r="X17" s="6">
        <v>7.6772021438868103</v>
      </c>
      <c r="Y17" s="6">
        <v>82.114342959754396</v>
      </c>
      <c r="Z17" s="3">
        <v>41239.426666666703</v>
      </c>
      <c r="AA17" s="3">
        <v>0.94586243960490801</v>
      </c>
      <c r="AB17" s="3">
        <v>12.650651609596901</v>
      </c>
      <c r="AC17" s="6">
        <v>2963.41</v>
      </c>
      <c r="AD17" s="6">
        <v>7.0242613922405601</v>
      </c>
      <c r="AE17" s="6">
        <v>2.1625395414854101</v>
      </c>
      <c r="AF17" s="3">
        <v>1071658.92666667</v>
      </c>
      <c r="AG17" s="3">
        <v>0.146085916124571</v>
      </c>
      <c r="AH17" s="3">
        <v>117.396193059334</v>
      </c>
      <c r="AI17" s="6">
        <v>1024.44</v>
      </c>
      <c r="AJ17" s="6">
        <v>8.6075818781683804</v>
      </c>
      <c r="AK17" s="6">
        <v>0.123008085453378</v>
      </c>
      <c r="AL17" s="3">
        <v>18547.953333333298</v>
      </c>
      <c r="AM17" s="3">
        <v>2.1762111610944301</v>
      </c>
      <c r="AN17" s="3">
        <v>11.1295066442554</v>
      </c>
      <c r="AO17" s="6">
        <v>136488.25333333301</v>
      </c>
      <c r="AP17" s="6">
        <v>0.68848605213915004</v>
      </c>
      <c r="AQ17" s="6">
        <v>32.684839177349197</v>
      </c>
      <c r="AR17" s="3">
        <v>8453.0499999999993</v>
      </c>
      <c r="AS17" s="3">
        <v>3.3306711846897699</v>
      </c>
      <c r="AT17" s="3">
        <v>14.4404923379347</v>
      </c>
      <c r="AU17" s="6">
        <v>33.366666666666703</v>
      </c>
      <c r="AV17" s="6">
        <v>17.320508075688899</v>
      </c>
      <c r="AW17" s="6">
        <v>4.7946678146324001E-2</v>
      </c>
      <c r="AX17" s="3">
        <v>25.026666666666699</v>
      </c>
      <c r="AY17" s="3">
        <v>52.903951795453501</v>
      </c>
      <c r="AZ17" s="3">
        <v>1.4509531743563101E-2</v>
      </c>
      <c r="BA17" s="6">
        <v>2067.3433333333301</v>
      </c>
      <c r="BB17" s="6">
        <v>7.2926604729123996</v>
      </c>
      <c r="BC17" s="6">
        <v>3.19051654389754</v>
      </c>
      <c r="BD17" s="3">
        <v>821255.59666666703</v>
      </c>
      <c r="BE17" s="3">
        <v>0.82428323999934205</v>
      </c>
      <c r="BF17" s="3">
        <v>67.788847811648395</v>
      </c>
      <c r="BG17" s="6">
        <v>222711.86666666699</v>
      </c>
      <c r="BH17" s="6">
        <v>9.9568261796488602E-2</v>
      </c>
      <c r="BI17" s="3">
        <v>18140.150000000001</v>
      </c>
      <c r="BJ17" s="3">
        <v>2.3296838985960102</v>
      </c>
      <c r="BK17" s="6">
        <v>56671.28</v>
      </c>
      <c r="BL17" s="6">
        <v>0.405064294287587</v>
      </c>
      <c r="BM17" s="3">
        <v>5590.3233333333301</v>
      </c>
      <c r="BN17" s="3">
        <v>1.97289516497602</v>
      </c>
      <c r="BO17" s="6">
        <v>553730.89</v>
      </c>
      <c r="BP17" s="6">
        <v>0.86068773476481497</v>
      </c>
      <c r="BQ17" s="3">
        <v>671121.33333333302</v>
      </c>
      <c r="BR17" s="3">
        <v>0.69734152320013099</v>
      </c>
    </row>
    <row r="18" spans="1:70" x14ac:dyDescent="0.35">
      <c r="A18" s="2"/>
      <c r="B18" s="2" t="b">
        <v>0</v>
      </c>
      <c r="C18" s="2" t="s">
        <v>64</v>
      </c>
      <c r="D18" s="4">
        <v>46175.649432870399</v>
      </c>
      <c r="E18" s="5" t="s">
        <v>28</v>
      </c>
      <c r="F18" s="6" t="s">
        <v>110</v>
      </c>
      <c r="G18" s="2" t="s">
        <v>26</v>
      </c>
      <c r="H18" s="3">
        <v>273186.683333333</v>
      </c>
      <c r="I18" s="3">
        <v>0.54885985813248495</v>
      </c>
      <c r="J18" s="3">
        <v>674.58555788344097</v>
      </c>
      <c r="K18" s="6">
        <v>11369.6133333333</v>
      </c>
      <c r="L18" s="6">
        <v>0.90374733288230102</v>
      </c>
      <c r="M18" s="6">
        <v>57.387370774607497</v>
      </c>
      <c r="N18" s="3">
        <v>9341.1033333333307</v>
      </c>
      <c r="O18" s="3">
        <v>2.1286117950205301</v>
      </c>
      <c r="P18" s="3">
        <v>159.75307942666399</v>
      </c>
      <c r="Q18" s="6">
        <v>24109.843333333301</v>
      </c>
      <c r="R18" s="6">
        <v>0.98770885333103797</v>
      </c>
      <c r="S18" s="6">
        <v>212.412355580069</v>
      </c>
      <c r="T18" s="3">
        <v>111.79</v>
      </c>
      <c r="U18" s="3">
        <v>11.269603333433301</v>
      </c>
      <c r="V18" s="3">
        <v>30.219652790757699</v>
      </c>
      <c r="W18" s="6">
        <v>2658.04</v>
      </c>
      <c r="X18" s="6">
        <v>5.1269882311499302</v>
      </c>
      <c r="Y18" s="6">
        <v>62.510599736342002</v>
      </c>
      <c r="Z18" s="3">
        <v>24030.03</v>
      </c>
      <c r="AA18" s="3">
        <v>0.969677209200834</v>
      </c>
      <c r="AB18" s="3">
        <v>6.3141889234401098</v>
      </c>
      <c r="AC18" s="6">
        <v>2531.2199999999998</v>
      </c>
      <c r="AD18" s="6">
        <v>1.28658767511094</v>
      </c>
      <c r="AE18" s="6">
        <v>1.7973615997418599</v>
      </c>
      <c r="AF18" s="3">
        <v>1784091.13666667</v>
      </c>
      <c r="AG18" s="3">
        <v>0.94328159764742703</v>
      </c>
      <c r="AH18" s="3">
        <v>199.68970162285399</v>
      </c>
      <c r="AI18" s="6">
        <v>894.31</v>
      </c>
      <c r="AJ18" s="6">
        <v>4.7596524138914802</v>
      </c>
      <c r="AK18" s="6">
        <v>9.7252236441516898E-2</v>
      </c>
      <c r="AL18" s="3">
        <v>7281.15</v>
      </c>
      <c r="AM18" s="3">
        <v>1.7525482001550601</v>
      </c>
      <c r="AN18" s="3">
        <v>3.5099137876010502</v>
      </c>
      <c r="AO18" s="6">
        <v>2999149.54</v>
      </c>
      <c r="AP18" s="6">
        <v>0.81799435747046101</v>
      </c>
      <c r="AQ18" s="6">
        <v>715.47448011339497</v>
      </c>
      <c r="AR18" s="3">
        <v>9513.0633333333299</v>
      </c>
      <c r="AS18" s="3">
        <v>0.631657733916414</v>
      </c>
      <c r="AT18" s="3">
        <v>16.236987102905001</v>
      </c>
      <c r="AU18" s="6">
        <v>43.38</v>
      </c>
      <c r="AV18" s="6">
        <v>33.299455359899603</v>
      </c>
      <c r="AW18" s="6">
        <v>6.4437755716241898E-2</v>
      </c>
      <c r="AX18" s="3">
        <v>30.03</v>
      </c>
      <c r="AY18" s="3">
        <v>33.3333333333333</v>
      </c>
      <c r="AZ18" s="3">
        <v>2.0679350862147401E-2</v>
      </c>
      <c r="BA18" s="6">
        <v>2295.9466666666699</v>
      </c>
      <c r="BB18" s="6">
        <v>3.42234374500012</v>
      </c>
      <c r="BC18" s="6">
        <v>3.6432985845828298</v>
      </c>
      <c r="BD18" s="3">
        <v>2751623.6633333298</v>
      </c>
      <c r="BE18" s="3">
        <v>8.1806541636255697E-2</v>
      </c>
      <c r="BF18" s="3">
        <v>227.45943152608001</v>
      </c>
      <c r="BG18" s="6">
        <v>224813.63333333301</v>
      </c>
      <c r="BH18" s="6">
        <v>1.11196244420779</v>
      </c>
      <c r="BI18" s="3">
        <v>18278.900000000001</v>
      </c>
      <c r="BJ18" s="3">
        <v>0.94415180391145903</v>
      </c>
      <c r="BK18" s="6">
        <v>55955.839999999997</v>
      </c>
      <c r="BL18" s="6">
        <v>0.37039001356929302</v>
      </c>
      <c r="BM18" s="3">
        <v>5448.4866666666703</v>
      </c>
      <c r="BN18" s="3">
        <v>4.1358648838821299</v>
      </c>
      <c r="BO18" s="6">
        <v>553854.69333333301</v>
      </c>
      <c r="BP18" s="6">
        <v>0.59156557630155004</v>
      </c>
      <c r="BQ18" s="3">
        <v>670672.14666666696</v>
      </c>
      <c r="BR18" s="3">
        <v>0.80307563216377698</v>
      </c>
    </row>
    <row r="19" spans="1:70" x14ac:dyDescent="0.35">
      <c r="A19" s="2"/>
      <c r="B19" s="2" t="b">
        <v>0</v>
      </c>
      <c r="C19" s="2" t="s">
        <v>94</v>
      </c>
      <c r="D19" s="4">
        <v>46175.652430555601</v>
      </c>
      <c r="E19" s="5" t="s">
        <v>28</v>
      </c>
      <c r="F19" s="6" t="s">
        <v>110</v>
      </c>
      <c r="G19" s="2" t="s">
        <v>57</v>
      </c>
      <c r="H19" s="3">
        <v>180184.74666666699</v>
      </c>
      <c r="I19" s="3">
        <v>0.61053568808078096</v>
      </c>
      <c r="J19" s="3">
        <v>448.61975763472498</v>
      </c>
      <c r="K19" s="6">
        <v>19177.41</v>
      </c>
      <c r="L19" s="6">
        <v>2.37968235518469</v>
      </c>
      <c r="M19" s="6">
        <v>101.173672668303</v>
      </c>
      <c r="N19" s="3">
        <v>5319.9</v>
      </c>
      <c r="O19" s="3">
        <v>2.0992264731814201</v>
      </c>
      <c r="P19" s="3">
        <v>93.189270153409694</v>
      </c>
      <c r="Q19" s="6">
        <v>21827.446666666699</v>
      </c>
      <c r="R19" s="6">
        <v>0.35100935458379301</v>
      </c>
      <c r="S19" s="6">
        <v>195.67780100818001</v>
      </c>
      <c r="T19" s="3">
        <v>158.50333333333299</v>
      </c>
      <c r="U19" s="3">
        <v>3.6479769769853498</v>
      </c>
      <c r="V19" s="3">
        <v>48.131195188244597</v>
      </c>
      <c r="W19" s="6">
        <v>2976.7766666666698</v>
      </c>
      <c r="X19" s="6">
        <v>6.9637856358187804</v>
      </c>
      <c r="Y19" s="6">
        <v>78.164536239433204</v>
      </c>
      <c r="Z19" s="3">
        <v>18237.276666666701</v>
      </c>
      <c r="AA19" s="3">
        <v>1.0582886687167901</v>
      </c>
      <c r="AB19" s="3">
        <v>4.4211138029661301</v>
      </c>
      <c r="AC19" s="6">
        <v>1144.58666666667</v>
      </c>
      <c r="AD19" s="6">
        <v>6.19030619625822</v>
      </c>
      <c r="AE19" s="6">
        <v>0.70827355278266602</v>
      </c>
      <c r="AF19" s="3">
        <v>663401.50333333295</v>
      </c>
      <c r="AG19" s="3">
        <v>0.117022065529955</v>
      </c>
      <c r="AH19" s="3">
        <v>67.546400054828396</v>
      </c>
      <c r="AI19" s="6">
        <v>540.58333333333303</v>
      </c>
      <c r="AJ19" s="6">
        <v>3.33871885045818</v>
      </c>
      <c r="AK19" s="6">
        <v>3.3852826315463602E-2</v>
      </c>
      <c r="AL19" s="3">
        <v>3377.2766666666698</v>
      </c>
      <c r="AM19" s="3">
        <v>2.8686578133755498</v>
      </c>
      <c r="AN19" s="3">
        <v>0.97309335903409699</v>
      </c>
      <c r="AO19" s="6">
        <v>120777.28333333301</v>
      </c>
      <c r="AP19" s="6">
        <v>0.64599486003753803</v>
      </c>
      <c r="AQ19" s="6">
        <v>29.553223728031298</v>
      </c>
      <c r="AR19" s="3">
        <v>7620.0366666666696</v>
      </c>
      <c r="AS19" s="3">
        <v>3.19363891766351</v>
      </c>
      <c r="AT19" s="3">
        <v>13.224097273290299</v>
      </c>
      <c r="AU19" s="6">
        <v>13.3466666666667</v>
      </c>
      <c r="AV19" s="6">
        <v>43.301270189221903</v>
      </c>
      <c r="AW19" s="6">
        <v>1.8143908595699899E-2</v>
      </c>
      <c r="AX19" s="3">
        <v>26.696666666666701</v>
      </c>
      <c r="AY19" s="3">
        <v>28.645696829160901</v>
      </c>
      <c r="AZ19" s="3">
        <v>1.6996960511987898E-2</v>
      </c>
      <c r="BA19" s="6">
        <v>1993.9166666666699</v>
      </c>
      <c r="BB19" s="6">
        <v>8.58876455673572</v>
      </c>
      <c r="BC19" s="6">
        <v>3.1630449043294302</v>
      </c>
      <c r="BD19" s="3">
        <v>739360.17333333299</v>
      </c>
      <c r="BE19" s="3">
        <v>0.60783852930516902</v>
      </c>
      <c r="BF19" s="3">
        <v>60.979785942745799</v>
      </c>
      <c r="BG19" s="6">
        <v>227241.64</v>
      </c>
      <c r="BH19" s="6">
        <v>0.52240794882745301</v>
      </c>
      <c r="BI19" s="3">
        <v>17744.29</v>
      </c>
      <c r="BJ19" s="3">
        <v>1.6714687256095899</v>
      </c>
      <c r="BK19" s="6">
        <v>57212.36</v>
      </c>
      <c r="BL19" s="6">
        <v>0.30152886220772801</v>
      </c>
      <c r="BM19" s="3">
        <v>5435.1033333333298</v>
      </c>
      <c r="BN19" s="3">
        <v>3.3274352398560501</v>
      </c>
      <c r="BO19" s="6">
        <v>560627.89666666696</v>
      </c>
      <c r="BP19" s="6">
        <v>0.15724867266273701</v>
      </c>
      <c r="BQ19" s="3">
        <v>671584.47</v>
      </c>
      <c r="BR19" s="3">
        <v>0.40127342893001999</v>
      </c>
    </row>
    <row r="20" spans="1:70" x14ac:dyDescent="0.35">
      <c r="A20" s="2"/>
      <c r="B20" s="2" t="b">
        <v>0</v>
      </c>
      <c r="C20" s="2" t="s">
        <v>44</v>
      </c>
      <c r="D20" s="4">
        <v>46175.6554861111</v>
      </c>
      <c r="E20" s="5" t="s">
        <v>28</v>
      </c>
      <c r="F20" s="6" t="s">
        <v>110</v>
      </c>
      <c r="G20" s="2" t="s">
        <v>68</v>
      </c>
      <c r="H20" s="3">
        <v>770625.48333333305</v>
      </c>
      <c r="I20" s="3">
        <v>0.488047731039989</v>
      </c>
      <c r="J20" s="3">
        <v>1976.12601757991</v>
      </c>
      <c r="K20" s="6">
        <v>32282.086666666699</v>
      </c>
      <c r="L20" s="6">
        <v>1.4285729037985</v>
      </c>
      <c r="M20" s="6">
        <v>168.05605621715699</v>
      </c>
      <c r="N20" s="3">
        <v>23772.14</v>
      </c>
      <c r="O20" s="3">
        <v>0.447388135154063</v>
      </c>
      <c r="P20" s="3">
        <v>412.077735698504</v>
      </c>
      <c r="Q20" s="6">
        <v>18158.5766666667</v>
      </c>
      <c r="R20" s="6">
        <v>0.37100098789587799</v>
      </c>
      <c r="S20" s="6">
        <v>152.59591754188199</v>
      </c>
      <c r="T20" s="3">
        <v>281.96333333333303</v>
      </c>
      <c r="U20" s="3">
        <v>9.7778422284385798</v>
      </c>
      <c r="V20" s="3">
        <v>90.099317938181798</v>
      </c>
      <c r="W20" s="6">
        <v>5243.1233333333303</v>
      </c>
      <c r="X20" s="6">
        <v>3.7844665572648899</v>
      </c>
      <c r="Y20" s="6">
        <v>163.53461947545401</v>
      </c>
      <c r="Z20" s="3">
        <v>54082.506666666697</v>
      </c>
      <c r="AA20" s="3">
        <v>1.2854774222934999</v>
      </c>
      <c r="AB20" s="3">
        <v>17.3465728946891</v>
      </c>
      <c r="AC20" s="6">
        <v>4405.34666666667</v>
      </c>
      <c r="AD20" s="6">
        <v>2.6215662606800998</v>
      </c>
      <c r="AE20" s="6">
        <v>3.3384305787553599</v>
      </c>
      <c r="AF20" s="3">
        <v>3241355.59</v>
      </c>
      <c r="AG20" s="3">
        <v>8.8679856824498901E-2</v>
      </c>
      <c r="AH20" s="3">
        <v>375.72601248180302</v>
      </c>
      <c r="AI20" s="6">
        <v>1453.2766666666701</v>
      </c>
      <c r="AJ20" s="6">
        <v>9.5106205371130699</v>
      </c>
      <c r="AK20" s="6">
        <v>0.20479261874652399</v>
      </c>
      <c r="AL20" s="3">
        <v>13261.64</v>
      </c>
      <c r="AM20" s="3">
        <v>1.99753977558184</v>
      </c>
      <c r="AN20" s="3">
        <v>7.5830542939658603</v>
      </c>
      <c r="AO20" s="6">
        <v>5316226.7166666696</v>
      </c>
      <c r="AP20" s="6">
        <v>0.50969604517910705</v>
      </c>
      <c r="AQ20" s="6">
        <v>1279.51687978207</v>
      </c>
      <c r="AR20" s="3">
        <v>11095.893333333301</v>
      </c>
      <c r="AS20" s="3">
        <v>2.1590715214534599</v>
      </c>
      <c r="AT20" s="3">
        <v>19.285219344799501</v>
      </c>
      <c r="AU20" s="6">
        <v>55.06</v>
      </c>
      <c r="AV20" s="6">
        <v>65.549524641108803</v>
      </c>
      <c r="AW20" s="6">
        <v>7.97668250528802E-2</v>
      </c>
      <c r="AX20" s="3">
        <v>43.38</v>
      </c>
      <c r="AY20" s="3">
        <v>56.909611556992999</v>
      </c>
      <c r="AZ20" s="3">
        <v>3.30476987767684E-2</v>
      </c>
      <c r="BA20" s="6">
        <v>3387.32</v>
      </c>
      <c r="BB20" s="6">
        <v>5.22449624727117</v>
      </c>
      <c r="BC20" s="6">
        <v>5.1984957240753902</v>
      </c>
      <c r="BD20" s="3">
        <v>4712706.9166666698</v>
      </c>
      <c r="BE20" s="3">
        <v>0.708509091354662</v>
      </c>
      <c r="BF20" s="3">
        <v>386.16829283512402</v>
      </c>
      <c r="BG20" s="6">
        <v>221728.11333333299</v>
      </c>
      <c r="BH20" s="6">
        <v>0.498494922607363</v>
      </c>
      <c r="BI20" s="3">
        <v>18121.84</v>
      </c>
      <c r="BJ20" s="3">
        <v>1.8137972257719099</v>
      </c>
      <c r="BK20" s="6">
        <v>55944.466666666704</v>
      </c>
      <c r="BL20" s="6">
        <v>0.54390030923184696</v>
      </c>
      <c r="BM20" s="3">
        <v>5652.09666666667</v>
      </c>
      <c r="BN20" s="3">
        <v>0.78753813398672901</v>
      </c>
      <c r="BO20" s="6">
        <v>552679.25333333295</v>
      </c>
      <c r="BP20" s="6">
        <v>0.28560530101334902</v>
      </c>
      <c r="BQ20" s="3">
        <v>676637.96</v>
      </c>
      <c r="BR20" s="3">
        <v>0.351630594857126</v>
      </c>
    </row>
    <row r="21" spans="1:70" x14ac:dyDescent="0.35">
      <c r="A21" s="2"/>
      <c r="B21" s="2" t="b">
        <v>0</v>
      </c>
      <c r="C21" s="2" t="s">
        <v>20</v>
      </c>
      <c r="D21" s="4">
        <v>46175.6584953704</v>
      </c>
      <c r="E21" s="5" t="s">
        <v>28</v>
      </c>
      <c r="F21" s="6" t="s">
        <v>110</v>
      </c>
      <c r="G21" s="2" t="s">
        <v>15</v>
      </c>
      <c r="H21" s="3">
        <v>696836.74666666705</v>
      </c>
      <c r="I21" s="3">
        <v>0.60708427616805405</v>
      </c>
      <c r="J21" s="3">
        <v>1774.3678274378101</v>
      </c>
      <c r="K21" s="6">
        <v>26648.393333333301</v>
      </c>
      <c r="L21" s="6">
        <v>2.28405251263968</v>
      </c>
      <c r="M21" s="6">
        <v>137.6503554352</v>
      </c>
      <c r="N21" s="3">
        <v>18342.183333333302</v>
      </c>
      <c r="O21" s="3">
        <v>0.62800570655626897</v>
      </c>
      <c r="P21" s="3">
        <v>316.00260526548101</v>
      </c>
      <c r="Q21" s="6">
        <v>7895.43</v>
      </c>
      <c r="R21" s="6">
        <v>1.9801166124129499</v>
      </c>
      <c r="S21" s="6">
        <v>45.189927996200197</v>
      </c>
      <c r="T21" s="3">
        <v>255.273333333333</v>
      </c>
      <c r="U21" s="3">
        <v>16.0487979816122</v>
      </c>
      <c r="V21" s="3">
        <v>80.224751906264203</v>
      </c>
      <c r="W21" s="6">
        <v>4855.8999999999996</v>
      </c>
      <c r="X21" s="6">
        <v>2.7916572436746399</v>
      </c>
      <c r="Y21" s="6">
        <v>147.58175915487999</v>
      </c>
      <c r="Z21" s="3">
        <v>26575.4233333333</v>
      </c>
      <c r="AA21" s="3">
        <v>1.4171358854831799</v>
      </c>
      <c r="AB21" s="3">
        <v>7.2692348412773802</v>
      </c>
      <c r="AC21" s="6">
        <v>3472.38666666667</v>
      </c>
      <c r="AD21" s="6">
        <v>5.4107962443474404</v>
      </c>
      <c r="AE21" s="6">
        <v>2.5673149822712702</v>
      </c>
      <c r="AF21" s="3">
        <v>2576965.1033333298</v>
      </c>
      <c r="AG21" s="3">
        <v>0.29900908415863903</v>
      </c>
      <c r="AH21" s="3">
        <v>296.26336776244301</v>
      </c>
      <c r="AI21" s="6">
        <v>607.32000000000005</v>
      </c>
      <c r="AJ21" s="6">
        <v>12.3717914826348</v>
      </c>
      <c r="AK21" s="6">
        <v>4.37632417993572E-2</v>
      </c>
      <c r="AL21" s="3">
        <v>2915.03</v>
      </c>
      <c r="AM21" s="3">
        <v>2.0050867479505801</v>
      </c>
      <c r="AN21" s="3">
        <v>0.60311303020227902</v>
      </c>
      <c r="AO21" s="6">
        <v>3434557.1933333301</v>
      </c>
      <c r="AP21" s="6">
        <v>0.90047317315382203</v>
      </c>
      <c r="AQ21" s="6">
        <v>822.16169041871399</v>
      </c>
      <c r="AR21" s="3">
        <v>10162.540000000001</v>
      </c>
      <c r="AS21" s="3">
        <v>2.8340469627431699</v>
      </c>
      <c r="AT21" s="3">
        <v>17.483951179049601</v>
      </c>
      <c r="AU21" s="6">
        <v>55.0566666666667</v>
      </c>
      <c r="AV21" s="6">
        <v>32.781784196470298</v>
      </c>
      <c r="AW21" s="6">
        <v>8.5404084184132201E-2</v>
      </c>
      <c r="AX21" s="3">
        <v>16.686666666666699</v>
      </c>
      <c r="AY21" s="3">
        <v>62.432709083567801</v>
      </c>
      <c r="AZ21" s="3">
        <v>6.5029510122390499E-3</v>
      </c>
      <c r="BA21" s="6">
        <v>1812.0266666666701</v>
      </c>
      <c r="BB21" s="6">
        <v>5.9953993323398604</v>
      </c>
      <c r="BC21" s="6">
        <v>2.9421475628687799</v>
      </c>
      <c r="BD21" s="3">
        <v>5660337.7400000002</v>
      </c>
      <c r="BE21" s="3">
        <v>0.69598813092578204</v>
      </c>
      <c r="BF21" s="3">
        <v>467.56777918212498</v>
      </c>
      <c r="BG21" s="6">
        <v>222114.316666667</v>
      </c>
      <c r="BH21" s="6">
        <v>0.59565487964785202</v>
      </c>
      <c r="BI21" s="3">
        <v>18217.0133333333</v>
      </c>
      <c r="BJ21" s="3">
        <v>1.80680710338082</v>
      </c>
      <c r="BK21" s="6">
        <v>55731.77</v>
      </c>
      <c r="BL21" s="6">
        <v>1.3836008437635601</v>
      </c>
      <c r="BM21" s="3">
        <v>5308.27</v>
      </c>
      <c r="BN21" s="3">
        <v>1.92447680060383</v>
      </c>
      <c r="BO21" s="6">
        <v>553123.32666666701</v>
      </c>
      <c r="BP21" s="6">
        <v>0.56862113947568904</v>
      </c>
      <c r="BQ21" s="3">
        <v>671234.92333333299</v>
      </c>
      <c r="BR21" s="3">
        <v>0.406290179800184</v>
      </c>
    </row>
    <row r="22" spans="1:70" x14ac:dyDescent="0.35">
      <c r="A22" s="2"/>
      <c r="B22" s="2" t="b">
        <v>0</v>
      </c>
      <c r="C22" s="2" t="s">
        <v>73</v>
      </c>
      <c r="D22" s="4">
        <v>46175.661550925899</v>
      </c>
      <c r="E22" s="5" t="s">
        <v>28</v>
      </c>
      <c r="F22" s="6" t="s">
        <v>110</v>
      </c>
      <c r="G22" s="2" t="s">
        <v>35</v>
      </c>
      <c r="H22" s="3">
        <v>305911.07333333301</v>
      </c>
      <c r="I22" s="3">
        <v>0.54387465654748601</v>
      </c>
      <c r="J22" s="3">
        <v>773.324953430714</v>
      </c>
      <c r="K22" s="6">
        <v>18844.993333333299</v>
      </c>
      <c r="L22" s="6">
        <v>1.31211668447736</v>
      </c>
      <c r="M22" s="6">
        <v>98.184205110276693</v>
      </c>
      <c r="N22" s="3">
        <v>7761.91</v>
      </c>
      <c r="O22" s="3">
        <v>2.95968692948259</v>
      </c>
      <c r="P22" s="3">
        <v>134.89678763049599</v>
      </c>
      <c r="Q22" s="6">
        <v>6169.4466666666704</v>
      </c>
      <c r="R22" s="6">
        <v>0.82867580083623804</v>
      </c>
      <c r="S22" s="6">
        <v>28.231224035603599</v>
      </c>
      <c r="T22" s="3">
        <v>243.59333333333299</v>
      </c>
      <c r="U22" s="3">
        <v>12.3847523489108</v>
      </c>
      <c r="V22" s="3">
        <v>77.519973674051101</v>
      </c>
      <c r="W22" s="6">
        <v>4170.01</v>
      </c>
      <c r="X22" s="6">
        <v>3.0089047905909498</v>
      </c>
      <c r="Y22" s="6">
        <v>123.501876414096</v>
      </c>
      <c r="Z22" s="3">
        <v>53346.02</v>
      </c>
      <c r="AA22" s="3">
        <v>0.37986805196009099</v>
      </c>
      <c r="AB22" s="3">
        <v>17.252483226846401</v>
      </c>
      <c r="AC22" s="6">
        <v>2189.14</v>
      </c>
      <c r="AD22" s="6">
        <v>9.2074826256405995</v>
      </c>
      <c r="AE22" s="6">
        <v>1.5511973096674401</v>
      </c>
      <c r="AF22" s="3">
        <v>1200528.9633333299</v>
      </c>
      <c r="AG22" s="3">
        <v>0.437793655659867</v>
      </c>
      <c r="AH22" s="3">
        <v>133.92188847207299</v>
      </c>
      <c r="AI22" s="6">
        <v>1124.56</v>
      </c>
      <c r="AJ22" s="6">
        <v>5.5645332897264099</v>
      </c>
      <c r="AK22" s="6">
        <v>0.14443229831007801</v>
      </c>
      <c r="AL22" s="3">
        <v>9676.7733333333308</v>
      </c>
      <c r="AM22" s="3">
        <v>2.2109507759073299</v>
      </c>
      <c r="AN22" s="3">
        <v>5.2282406390625598</v>
      </c>
      <c r="AO22" s="6">
        <v>327992.64</v>
      </c>
      <c r="AP22" s="6">
        <v>0.25562116884720498</v>
      </c>
      <c r="AQ22" s="6">
        <v>79.531844909864901</v>
      </c>
      <c r="AR22" s="3">
        <v>5128</v>
      </c>
      <c r="AS22" s="3">
        <v>2.51321153589838</v>
      </c>
      <c r="AT22" s="3">
        <v>8.4680173696145307</v>
      </c>
      <c r="AU22" s="6">
        <v>26.696666666666701</v>
      </c>
      <c r="AV22" s="6">
        <v>60.2691766643741</v>
      </c>
      <c r="AW22" s="6">
        <v>3.8966581124102999E-2</v>
      </c>
      <c r="AX22" s="3">
        <v>23.356666666666701</v>
      </c>
      <c r="AY22" s="3">
        <v>49.487165930539398</v>
      </c>
      <c r="AZ22" s="3">
        <v>1.3529703666513401E-2</v>
      </c>
      <c r="BA22" s="6">
        <v>2486.19</v>
      </c>
      <c r="BB22" s="6">
        <v>2.70470709668307</v>
      </c>
      <c r="BC22" s="6">
        <v>4.0182306737512299</v>
      </c>
      <c r="BD22" s="3">
        <v>1062368.90666667</v>
      </c>
      <c r="BE22" s="3">
        <v>0.29863327985528798</v>
      </c>
      <c r="BF22" s="3">
        <v>87.868843766584902</v>
      </c>
      <c r="BG22" s="6">
        <v>220732.11333333299</v>
      </c>
      <c r="BH22" s="6">
        <v>0.83246838503912202</v>
      </c>
      <c r="BI22" s="3">
        <v>17961.523333333302</v>
      </c>
      <c r="BJ22" s="3">
        <v>2.3766901035761001</v>
      </c>
      <c r="BK22" s="6">
        <v>55946.093333333301</v>
      </c>
      <c r="BL22" s="6">
        <v>0.657506499935404</v>
      </c>
      <c r="BM22" s="3">
        <v>5361.66</v>
      </c>
      <c r="BN22" s="3">
        <v>4.1274878003478603</v>
      </c>
      <c r="BO22" s="6">
        <v>555990.063333333</v>
      </c>
      <c r="BP22" s="6">
        <v>0.62914040367792301</v>
      </c>
      <c r="BQ22" s="3">
        <v>669938.80333333299</v>
      </c>
      <c r="BR22" s="3">
        <v>0.48550098761834498</v>
      </c>
    </row>
    <row r="23" spans="1:70" x14ac:dyDescent="0.35">
      <c r="A23" s="2"/>
      <c r="B23" s="2" t="b">
        <v>0</v>
      </c>
      <c r="C23" s="2" t="s">
        <v>7</v>
      </c>
      <c r="D23" s="4">
        <v>46175.664548611101</v>
      </c>
      <c r="E23" s="5" t="s">
        <v>28</v>
      </c>
      <c r="F23" s="6" t="s">
        <v>110</v>
      </c>
      <c r="G23" s="2" t="s">
        <v>11</v>
      </c>
      <c r="H23" s="3">
        <v>29000.156666666699</v>
      </c>
      <c r="I23" s="3">
        <v>2.5201474013326401</v>
      </c>
      <c r="J23" s="3">
        <v>47.964919403489503</v>
      </c>
      <c r="K23" s="6">
        <v>3993.07666666667</v>
      </c>
      <c r="L23" s="6">
        <v>4.5041912573269904</v>
      </c>
      <c r="M23" s="6">
        <v>19.8883156398789</v>
      </c>
      <c r="N23" s="3">
        <v>3457.3733333333298</v>
      </c>
      <c r="O23" s="3">
        <v>4.1399967590750499</v>
      </c>
      <c r="P23" s="3">
        <v>61.227925213091901</v>
      </c>
      <c r="Q23" s="6">
        <v>3816.17333333333</v>
      </c>
      <c r="R23" s="6">
        <v>4.4379836950209697</v>
      </c>
      <c r="S23" s="6">
        <v>4.7243310596443404</v>
      </c>
      <c r="T23" s="3">
        <v>36.706666666666699</v>
      </c>
      <c r="U23" s="3">
        <v>28.381596592112299</v>
      </c>
      <c r="V23" s="3">
        <v>4.7889658120612797</v>
      </c>
      <c r="W23" s="6">
        <v>1388.19333333333</v>
      </c>
      <c r="X23" s="6">
        <v>5.5200780083095804</v>
      </c>
      <c r="Y23" s="6">
        <v>16.336134464302599</v>
      </c>
      <c r="Z23" s="3">
        <v>33444.843333333301</v>
      </c>
      <c r="AA23" s="3">
        <v>0.83662855752880505</v>
      </c>
      <c r="AB23" s="3">
        <v>10.305683634476299</v>
      </c>
      <c r="AC23" s="6">
        <v>1204.6500000000001</v>
      </c>
      <c r="AD23" s="6">
        <v>3.8612649130608601</v>
      </c>
      <c r="AE23" s="6">
        <v>0.77628934647067005</v>
      </c>
      <c r="AF23" s="3">
        <v>572393.14</v>
      </c>
      <c r="AG23" s="3">
        <v>0.416961051128305</v>
      </c>
      <c r="AH23" s="3">
        <v>62.7002220890949</v>
      </c>
      <c r="AI23" s="6">
        <v>258.60666666666702</v>
      </c>
      <c r="AJ23" s="6">
        <v>18.395533981176602</v>
      </c>
      <c r="AK23" s="6" t="s">
        <v>32</v>
      </c>
      <c r="AL23" s="3">
        <v>13669.11</v>
      </c>
      <c r="AM23" s="3">
        <v>0.165070366477061</v>
      </c>
      <c r="AN23" s="3">
        <v>8.2212295102596595</v>
      </c>
      <c r="AO23" s="6">
        <v>310005.27</v>
      </c>
      <c r="AP23" s="6">
        <v>0.98881297232188703</v>
      </c>
      <c r="AQ23" s="6">
        <v>77.439895089817298</v>
      </c>
      <c r="AR23" s="3">
        <v>2858.2966666666698</v>
      </c>
      <c r="AS23" s="3">
        <v>4.0129067088471304</v>
      </c>
      <c r="AT23" s="3">
        <v>4.4422949781409802</v>
      </c>
      <c r="AU23" s="6">
        <v>15.02</v>
      </c>
      <c r="AV23" s="6">
        <v>66.644474034620501</v>
      </c>
      <c r="AW23" s="6">
        <v>2.1525224481625201E-2</v>
      </c>
      <c r="AX23" s="3">
        <v>3.34</v>
      </c>
      <c r="AY23" s="3">
        <v>86.602540378443905</v>
      </c>
      <c r="AZ23" s="3" t="s">
        <v>32</v>
      </c>
      <c r="BA23" s="6">
        <v>91.763333333333307</v>
      </c>
      <c r="BB23" s="6">
        <v>11.3591582667613</v>
      </c>
      <c r="BC23" s="6">
        <v>0.112353245084714</v>
      </c>
      <c r="BD23" s="3">
        <v>3465.78</v>
      </c>
      <c r="BE23" s="3">
        <v>4.1797107504895203</v>
      </c>
      <c r="BF23" s="3">
        <v>0.21514016606199601</v>
      </c>
      <c r="BG23" s="6">
        <v>209289.89666666699</v>
      </c>
      <c r="BH23" s="6">
        <v>1.66497466701848</v>
      </c>
      <c r="BI23" s="3">
        <v>17428.636666666702</v>
      </c>
      <c r="BJ23" s="3">
        <v>1.6579016617597599</v>
      </c>
      <c r="BK23" s="6">
        <v>51941.796666666698</v>
      </c>
      <c r="BL23" s="6">
        <v>1.2119491391461299</v>
      </c>
      <c r="BM23" s="3">
        <v>5264.85</v>
      </c>
      <c r="BN23" s="3">
        <v>2.99593778789913</v>
      </c>
      <c r="BO23" s="6">
        <v>532581.39</v>
      </c>
      <c r="BP23" s="6">
        <v>1.6128721759232101</v>
      </c>
      <c r="BQ23" s="3">
        <v>669813.85333333304</v>
      </c>
      <c r="BR23" s="3">
        <v>0.36930439227046202</v>
      </c>
    </row>
    <row r="24" spans="1:70" x14ac:dyDescent="0.35">
      <c r="A24" s="2"/>
      <c r="B24" s="2" t="b">
        <v>0</v>
      </c>
      <c r="C24" s="2" t="s">
        <v>97</v>
      </c>
      <c r="D24" s="4">
        <v>46175.667604166701</v>
      </c>
      <c r="E24" s="5" t="s">
        <v>28</v>
      </c>
      <c r="F24" s="6" t="s">
        <v>110</v>
      </c>
      <c r="G24" s="2" t="s">
        <v>108</v>
      </c>
      <c r="H24" s="3">
        <v>26011.5333333333</v>
      </c>
      <c r="I24" s="3">
        <v>0.67101321566961103</v>
      </c>
      <c r="J24" s="3">
        <v>39.700889384424599</v>
      </c>
      <c r="K24" s="6">
        <v>3737.74</v>
      </c>
      <c r="L24" s="6">
        <v>3.9200110817894198</v>
      </c>
      <c r="M24" s="6">
        <v>18.442496587898098</v>
      </c>
      <c r="N24" s="3">
        <v>3574.2066666666701</v>
      </c>
      <c r="O24" s="3">
        <v>4.2645970687477401</v>
      </c>
      <c r="P24" s="3">
        <v>63.182812727603803</v>
      </c>
      <c r="Q24" s="6">
        <v>3762.7833333333301</v>
      </c>
      <c r="R24" s="6">
        <v>1.0677791503284899</v>
      </c>
      <c r="S24" s="6">
        <v>4.02500551239239</v>
      </c>
      <c r="T24" s="3">
        <v>35.036666666666697</v>
      </c>
      <c r="U24" s="3">
        <v>37.789256025141803</v>
      </c>
      <c r="V24" s="3">
        <v>4.1177242653375004</v>
      </c>
      <c r="W24" s="6">
        <v>1341.4733333333299</v>
      </c>
      <c r="X24" s="6">
        <v>10.4016925973905</v>
      </c>
      <c r="Y24" s="6">
        <v>14.3510241732968</v>
      </c>
      <c r="Z24" s="3">
        <v>32928.046666666698</v>
      </c>
      <c r="AA24" s="3">
        <v>1.9462763813605899</v>
      </c>
      <c r="AB24" s="3">
        <v>10.078583091612201</v>
      </c>
      <c r="AC24" s="6">
        <v>1219.6766666666699</v>
      </c>
      <c r="AD24" s="6">
        <v>9.2352153434523103</v>
      </c>
      <c r="AE24" s="6">
        <v>0.785043746109374</v>
      </c>
      <c r="AF24" s="3">
        <v>590939.27</v>
      </c>
      <c r="AG24" s="3">
        <v>0.76959281024257198</v>
      </c>
      <c r="AH24" s="3">
        <v>65.191620559112394</v>
      </c>
      <c r="AI24" s="6">
        <v>286.97000000000003</v>
      </c>
      <c r="AJ24" s="6">
        <v>12.251867841287099</v>
      </c>
      <c r="AK24" s="6" t="s">
        <v>32</v>
      </c>
      <c r="AL24" s="3">
        <v>13475.436666666699</v>
      </c>
      <c r="AM24" s="3">
        <v>1.4836976521144001</v>
      </c>
      <c r="AN24" s="3">
        <v>8.0628420260485107</v>
      </c>
      <c r="AO24" s="6">
        <v>317508</v>
      </c>
      <c r="AP24" s="6">
        <v>0.87069603574832999</v>
      </c>
      <c r="AQ24" s="6">
        <v>79.120281832951306</v>
      </c>
      <c r="AR24" s="3">
        <v>2509.5300000000002</v>
      </c>
      <c r="AS24" s="3">
        <v>3.5477291393557699</v>
      </c>
      <c r="AT24" s="3">
        <v>3.7675340446542802</v>
      </c>
      <c r="AU24" s="6">
        <v>5.0066666666666704</v>
      </c>
      <c r="AV24" s="6">
        <v>173.20508075688801</v>
      </c>
      <c r="AW24" s="6">
        <v>5.6826228184717401E-3</v>
      </c>
      <c r="AX24" s="3">
        <v>1.67</v>
      </c>
      <c r="AY24" s="3">
        <v>173.20508075688801</v>
      </c>
      <c r="AZ24" s="3" t="s">
        <v>32</v>
      </c>
      <c r="BA24" s="6">
        <v>100.106666666667</v>
      </c>
      <c r="BB24" s="6">
        <v>40.002330951035198</v>
      </c>
      <c r="BC24" s="6">
        <v>0.12668189839369001</v>
      </c>
      <c r="BD24" s="3">
        <v>38593.296666666698</v>
      </c>
      <c r="BE24" s="3">
        <v>1.3156961930559401</v>
      </c>
      <c r="BF24" s="3">
        <v>3.14596081118024</v>
      </c>
      <c r="BG24" s="6">
        <v>208831.6</v>
      </c>
      <c r="BH24" s="6">
        <v>1.6979930300119801</v>
      </c>
      <c r="BI24" s="3">
        <v>17472.060000000001</v>
      </c>
      <c r="BJ24" s="3">
        <v>1.4876835034446201</v>
      </c>
      <c r="BK24" s="6">
        <v>52047.206666666701</v>
      </c>
      <c r="BL24" s="6">
        <v>1.8289839958288401</v>
      </c>
      <c r="BM24" s="3">
        <v>5238.1433333333298</v>
      </c>
      <c r="BN24" s="3">
        <v>2.9215366509960199</v>
      </c>
      <c r="BO24" s="6">
        <v>530938.77333333297</v>
      </c>
      <c r="BP24" s="6">
        <v>1.8571604743935901</v>
      </c>
      <c r="BQ24" s="3">
        <v>665213.09333333303</v>
      </c>
      <c r="BR24" s="3">
        <v>0.91544611203497495</v>
      </c>
    </row>
    <row r="25" spans="1:70" x14ac:dyDescent="0.35">
      <c r="A25" s="2"/>
      <c r="B25" s="2" t="b">
        <v>0</v>
      </c>
      <c r="C25" s="2" t="s">
        <v>81</v>
      </c>
      <c r="D25" s="4">
        <v>46175.670601851903</v>
      </c>
      <c r="E25" s="5" t="s">
        <v>28</v>
      </c>
      <c r="F25" s="6" t="s">
        <v>110</v>
      </c>
      <c r="G25" s="2" t="s">
        <v>10</v>
      </c>
      <c r="H25" s="3">
        <v>38720.676666666703</v>
      </c>
      <c r="I25" s="3">
        <v>0.74698653499545797</v>
      </c>
      <c r="J25" s="3">
        <v>71.677118802867199</v>
      </c>
      <c r="K25" s="6">
        <v>4687.3599999999997</v>
      </c>
      <c r="L25" s="6">
        <v>4.0138818131130902</v>
      </c>
      <c r="M25" s="6">
        <v>23.067737870123299</v>
      </c>
      <c r="N25" s="3">
        <v>3150.31</v>
      </c>
      <c r="O25" s="3">
        <v>5.8807902359457502</v>
      </c>
      <c r="P25" s="3">
        <v>54.2545009953499</v>
      </c>
      <c r="Q25" s="6">
        <v>4470.3900000000003</v>
      </c>
      <c r="R25" s="6">
        <v>2.9702246104475498</v>
      </c>
      <c r="S25" s="6">
        <v>10.5793172031251</v>
      </c>
      <c r="T25" s="3">
        <v>80.0833333333333</v>
      </c>
      <c r="U25" s="3">
        <v>34.800442957068803</v>
      </c>
      <c r="V25" s="3">
        <v>19.815401517784299</v>
      </c>
      <c r="W25" s="6">
        <v>2094.0300000000002</v>
      </c>
      <c r="X25" s="6">
        <v>5.4324293358959999</v>
      </c>
      <c r="Y25" s="6">
        <v>42.679410584762699</v>
      </c>
      <c r="Z25" s="3">
        <v>33135.583333333299</v>
      </c>
      <c r="AA25" s="3">
        <v>2.2779806854813902</v>
      </c>
      <c r="AB25" s="3">
        <v>9.8786908361578192</v>
      </c>
      <c r="AC25" s="6">
        <v>1268.06</v>
      </c>
      <c r="AD25" s="6">
        <v>6.4905097265728404</v>
      </c>
      <c r="AE25" s="6">
        <v>0.80310789676655603</v>
      </c>
      <c r="AF25" s="3">
        <v>602837.23</v>
      </c>
      <c r="AG25" s="3">
        <v>0.34470114077566899</v>
      </c>
      <c r="AH25" s="3">
        <v>63.1403729860425</v>
      </c>
      <c r="AI25" s="6">
        <v>352.04</v>
      </c>
      <c r="AJ25" s="6">
        <v>15.204091613761101</v>
      </c>
      <c r="AK25" s="6" t="s">
        <v>32</v>
      </c>
      <c r="AL25" s="3">
        <v>14034.893333333301</v>
      </c>
      <c r="AM25" s="3">
        <v>0.86112273202152501</v>
      </c>
      <c r="AN25" s="3">
        <v>8.2327659683134797</v>
      </c>
      <c r="AO25" s="6">
        <v>374749.63</v>
      </c>
      <c r="AP25" s="6">
        <v>0.71965179742521701</v>
      </c>
      <c r="AQ25" s="6">
        <v>91.315951986325103</v>
      </c>
      <c r="AR25" s="3">
        <v>3565.86666666667</v>
      </c>
      <c r="AS25" s="3">
        <v>1.6753463284798</v>
      </c>
      <c r="AT25" s="3">
        <v>5.6154381681616004</v>
      </c>
      <c r="AU25" s="6">
        <v>13.3466666666667</v>
      </c>
      <c r="AV25" s="6">
        <v>43.301270189221903</v>
      </c>
      <c r="AW25" s="6">
        <v>1.9292969328857799E-2</v>
      </c>
      <c r="AX25" s="3">
        <v>6.6733333333333302</v>
      </c>
      <c r="AY25" s="3">
        <v>173.20508075688801</v>
      </c>
      <c r="AZ25" s="3" t="s">
        <v>32</v>
      </c>
      <c r="BA25" s="6">
        <v>71.743333333333297</v>
      </c>
      <c r="BB25" s="6">
        <v>29.0444779835376</v>
      </c>
      <c r="BC25" s="6">
        <v>8.1353943149850394E-2</v>
      </c>
      <c r="BD25" s="3">
        <v>45475.496666666702</v>
      </c>
      <c r="BE25" s="3">
        <v>0.72832340203756796</v>
      </c>
      <c r="BF25" s="3">
        <v>3.66740418622495</v>
      </c>
      <c r="BG25" s="6">
        <v>219049.39</v>
      </c>
      <c r="BH25" s="6">
        <v>0.91130782750470396</v>
      </c>
      <c r="BI25" s="3">
        <v>17871.313333333299</v>
      </c>
      <c r="BJ25" s="3">
        <v>1.2675191165676101</v>
      </c>
      <c r="BK25" s="6">
        <v>54241.37</v>
      </c>
      <c r="BL25" s="6">
        <v>1.70811439127118</v>
      </c>
      <c r="BM25" s="3">
        <v>5178.05666666667</v>
      </c>
      <c r="BN25" s="3">
        <v>1.2253479849359901</v>
      </c>
      <c r="BO25" s="6">
        <v>553843.6</v>
      </c>
      <c r="BP25" s="6">
        <v>1.02316673861203</v>
      </c>
      <c r="BQ25" s="3">
        <v>674435.57666666701</v>
      </c>
      <c r="BR25" s="3">
        <v>0.43991636359182701</v>
      </c>
    </row>
    <row r="26" spans="1:70" x14ac:dyDescent="0.35">
      <c r="A26" s="2"/>
      <c r="B26" s="2" t="b">
        <v>0</v>
      </c>
      <c r="C26" s="2" t="s">
        <v>51</v>
      </c>
      <c r="D26" s="4">
        <v>46175.673668981501</v>
      </c>
      <c r="E26" s="5" t="s">
        <v>28</v>
      </c>
      <c r="F26" s="6" t="s">
        <v>110</v>
      </c>
      <c r="G26" s="2" t="s">
        <v>12</v>
      </c>
      <c r="H26" s="3">
        <v>38314.1933333333</v>
      </c>
      <c r="I26" s="3">
        <v>1.0450396362905501</v>
      </c>
      <c r="J26" s="3">
        <v>70.572372926380893</v>
      </c>
      <c r="K26" s="6">
        <v>4381.93</v>
      </c>
      <c r="L26" s="6">
        <v>2.4826558619535302</v>
      </c>
      <c r="M26" s="6">
        <v>21.415412342783299</v>
      </c>
      <c r="N26" s="3">
        <v>2881.64</v>
      </c>
      <c r="O26" s="3">
        <v>2.4092291023853001</v>
      </c>
      <c r="P26" s="3">
        <v>49.512065893980001</v>
      </c>
      <c r="Q26" s="6">
        <v>4560.4866666666703</v>
      </c>
      <c r="R26" s="6">
        <v>1.4849062556903601</v>
      </c>
      <c r="S26" s="6">
        <v>11.5374932841499</v>
      </c>
      <c r="T26" s="3">
        <v>50.053333333333299</v>
      </c>
      <c r="U26" s="3">
        <v>9.9993357069141702</v>
      </c>
      <c r="V26" s="3">
        <v>9.1438328023274593</v>
      </c>
      <c r="W26" s="6">
        <v>1615.12</v>
      </c>
      <c r="X26" s="6">
        <v>2.7946666986262798</v>
      </c>
      <c r="Y26" s="6">
        <v>23.8639980299331</v>
      </c>
      <c r="Z26" s="3">
        <v>33697.3766666667</v>
      </c>
      <c r="AA26" s="3">
        <v>0.52610936766761596</v>
      </c>
      <c r="AB26" s="3">
        <v>10.080770959531099</v>
      </c>
      <c r="AC26" s="6">
        <v>1341.4766666666701</v>
      </c>
      <c r="AD26" s="6">
        <v>3.9493255114368702</v>
      </c>
      <c r="AE26" s="6">
        <v>0.86364284248859802</v>
      </c>
      <c r="AF26" s="3">
        <v>628523.62666666706</v>
      </c>
      <c r="AG26" s="3">
        <v>0.47300468032520099</v>
      </c>
      <c r="AH26" s="3">
        <v>65.870642612633702</v>
      </c>
      <c r="AI26" s="6">
        <v>358.71666666666698</v>
      </c>
      <c r="AJ26" s="6">
        <v>13.1874035456363</v>
      </c>
      <c r="AK26" s="6" t="s">
        <v>32</v>
      </c>
      <c r="AL26" s="3">
        <v>14372.2</v>
      </c>
      <c r="AM26" s="3">
        <v>3.6983590238869</v>
      </c>
      <c r="AN26" s="3">
        <v>8.4645174820286506</v>
      </c>
      <c r="AO26" s="6">
        <v>256964.54</v>
      </c>
      <c r="AP26" s="6">
        <v>1.2984382019683001</v>
      </c>
      <c r="AQ26" s="6">
        <v>62.543620093647696</v>
      </c>
      <c r="AR26" s="3">
        <v>3924.6566666666699</v>
      </c>
      <c r="AS26" s="3">
        <v>3.1167464978290602</v>
      </c>
      <c r="AT26" s="3">
        <v>6.2786597212977497</v>
      </c>
      <c r="AU26" s="6">
        <v>13.3466666666667</v>
      </c>
      <c r="AV26" s="6">
        <v>43.301270189221903</v>
      </c>
      <c r="AW26" s="6">
        <v>1.86402945139163E-2</v>
      </c>
      <c r="AX26" s="3">
        <v>8.3433333333333302</v>
      </c>
      <c r="AY26" s="3">
        <v>34.599496755271197</v>
      </c>
      <c r="AZ26" s="3" t="s">
        <v>32</v>
      </c>
      <c r="BA26" s="6">
        <v>121.79666666666699</v>
      </c>
      <c r="BB26" s="6">
        <v>20.272121443088601</v>
      </c>
      <c r="BC26" s="6">
        <v>0.15900142123732999</v>
      </c>
      <c r="BD26" s="3">
        <v>8358.1200000000008</v>
      </c>
      <c r="BE26" s="3">
        <v>3.0649947517669398</v>
      </c>
      <c r="BF26" s="3">
        <v>0.61639131302564498</v>
      </c>
      <c r="BG26" s="6">
        <v>220106.73666666701</v>
      </c>
      <c r="BH26" s="6">
        <v>1.40679265108637</v>
      </c>
      <c r="BI26" s="3">
        <v>17881.296666666702</v>
      </c>
      <c r="BJ26" s="3">
        <v>2.2505939151454202</v>
      </c>
      <c r="BK26" s="6">
        <v>55155.839999999997</v>
      </c>
      <c r="BL26" s="6">
        <v>1.6261362989905599</v>
      </c>
      <c r="BM26" s="3">
        <v>5365</v>
      </c>
      <c r="BN26" s="3">
        <v>1.8051474941816501</v>
      </c>
      <c r="BO26" s="6">
        <v>551899.05333333299</v>
      </c>
      <c r="BP26" s="6">
        <v>0.52823732574353199</v>
      </c>
      <c r="BQ26" s="3">
        <v>673455.66666666698</v>
      </c>
      <c r="BR26" s="3">
        <v>0.54270020060716095</v>
      </c>
    </row>
    <row r="27" spans="1:70" x14ac:dyDescent="0.35">
      <c r="A27" s="2"/>
      <c r="B27" s="2" t="b">
        <v>0</v>
      </c>
      <c r="C27" s="2" t="s">
        <v>3</v>
      </c>
      <c r="D27" s="4">
        <v>46175.676666666703</v>
      </c>
      <c r="E27" s="5" t="s">
        <v>28</v>
      </c>
      <c r="F27" s="6" t="s">
        <v>110</v>
      </c>
      <c r="G27" s="2" t="s">
        <v>4</v>
      </c>
      <c r="H27" s="3">
        <v>38319.2633333333</v>
      </c>
      <c r="I27" s="3">
        <v>0.49473049175367501</v>
      </c>
      <c r="J27" s="3">
        <v>72.5695422933495</v>
      </c>
      <c r="K27" s="6">
        <v>4692.37</v>
      </c>
      <c r="L27" s="6">
        <v>5.4172236123818296</v>
      </c>
      <c r="M27" s="6">
        <v>23.5611778413449</v>
      </c>
      <c r="N27" s="3">
        <v>3620.9166666666702</v>
      </c>
      <c r="O27" s="3">
        <v>4.5236481553285701</v>
      </c>
      <c r="P27" s="3">
        <v>63.807409024648599</v>
      </c>
      <c r="Q27" s="6">
        <v>4373.6000000000004</v>
      </c>
      <c r="R27" s="6">
        <v>3.3381840935561402</v>
      </c>
      <c r="S27" s="6">
        <v>10.4660657348679</v>
      </c>
      <c r="T27" s="3">
        <v>95.1</v>
      </c>
      <c r="U27" s="3">
        <v>22.945192026864401</v>
      </c>
      <c r="V27" s="3">
        <v>25.773471609034601</v>
      </c>
      <c r="W27" s="6">
        <v>1828.71</v>
      </c>
      <c r="X27" s="6">
        <v>4.3995214998497802</v>
      </c>
      <c r="Y27" s="6">
        <v>33.689833619677401</v>
      </c>
      <c r="Z27" s="3">
        <v>34403.003333333298</v>
      </c>
      <c r="AA27" s="3">
        <v>0.24867466438077801</v>
      </c>
      <c r="AB27" s="3">
        <v>10.590342004393399</v>
      </c>
      <c r="AC27" s="6">
        <v>1294.7566666666701</v>
      </c>
      <c r="AD27" s="6">
        <v>8.1490043031696295</v>
      </c>
      <c r="AE27" s="6">
        <v>0.84556924243456899</v>
      </c>
      <c r="AF27" s="3">
        <v>574351.74333333306</v>
      </c>
      <c r="AG27" s="3">
        <v>1.9239556793311701</v>
      </c>
      <c r="AH27" s="3">
        <v>55.138168898142197</v>
      </c>
      <c r="AI27" s="6">
        <v>258.60666666666702</v>
      </c>
      <c r="AJ27" s="6">
        <v>17.984519810031699</v>
      </c>
      <c r="AK27" s="6" t="s">
        <v>32</v>
      </c>
      <c r="AL27" s="3">
        <v>14185.25</v>
      </c>
      <c r="AM27" s="3">
        <v>1.2402202044119499</v>
      </c>
      <c r="AN27" s="3">
        <v>8.5223898338091004</v>
      </c>
      <c r="AO27" s="6">
        <v>279107.683333333</v>
      </c>
      <c r="AP27" s="6">
        <v>0.44921264825285701</v>
      </c>
      <c r="AQ27" s="6">
        <v>69.288153675995105</v>
      </c>
      <c r="AR27" s="3">
        <v>3212.07</v>
      </c>
      <c r="AS27" s="3">
        <v>6.1762721783454397</v>
      </c>
      <c r="AT27" s="3">
        <v>5.07774416507635</v>
      </c>
      <c r="AU27" s="6">
        <v>21.69</v>
      </c>
      <c r="AV27" s="6">
        <v>74.171449024767298</v>
      </c>
      <c r="AW27" s="6">
        <v>3.2475383884614198E-2</v>
      </c>
      <c r="AX27" s="3">
        <v>3.34</v>
      </c>
      <c r="AY27" s="3">
        <v>86.602540378443905</v>
      </c>
      <c r="AZ27" s="3" t="s">
        <v>32</v>
      </c>
      <c r="BA27" s="6">
        <v>80.0833333333333</v>
      </c>
      <c r="BB27" s="6">
        <v>6.2497408938617003</v>
      </c>
      <c r="BC27" s="6">
        <v>9.1921173333620806E-2</v>
      </c>
      <c r="BD27" s="3">
        <v>11779.3633333333</v>
      </c>
      <c r="BE27" s="3">
        <v>2.8352285752824602</v>
      </c>
      <c r="BF27" s="3">
        <v>0.89876199817507396</v>
      </c>
      <c r="BG27" s="6">
        <v>235152.123333333</v>
      </c>
      <c r="BH27" s="6">
        <v>6.9699432647419197</v>
      </c>
      <c r="BI27" s="3">
        <v>17533.7833333333</v>
      </c>
      <c r="BJ27" s="3">
        <v>1.07439692331625</v>
      </c>
      <c r="BK27" s="6">
        <v>58722.993333333303</v>
      </c>
      <c r="BL27" s="6">
        <v>7.6307474677513998</v>
      </c>
      <c r="BM27" s="3">
        <v>5328.29</v>
      </c>
      <c r="BN27" s="3">
        <v>3.4684266622670501</v>
      </c>
      <c r="BO27" s="6">
        <v>591046.57999999996</v>
      </c>
      <c r="BP27" s="6">
        <v>8.5231534184488194</v>
      </c>
      <c r="BQ27" s="3">
        <v>673062.82</v>
      </c>
      <c r="BR27" s="3">
        <v>0.14785466648058099</v>
      </c>
    </row>
    <row r="28" spans="1:70" x14ac:dyDescent="0.35">
      <c r="A28" s="2"/>
      <c r="B28" s="2" t="b">
        <v>0</v>
      </c>
      <c r="C28" s="2" t="s">
        <v>66</v>
      </c>
      <c r="D28" s="4">
        <v>46175.679722222201</v>
      </c>
      <c r="E28" s="5" t="s">
        <v>28</v>
      </c>
      <c r="F28" s="6" t="s">
        <v>110</v>
      </c>
      <c r="G28" s="2" t="s">
        <v>100</v>
      </c>
      <c r="H28" s="3">
        <v>31559.7166666667</v>
      </c>
      <c r="I28" s="3">
        <v>6.0294426520216299E-2</v>
      </c>
      <c r="J28" s="3">
        <v>55.311349903237399</v>
      </c>
      <c r="K28" s="6">
        <v>3978.03666666667</v>
      </c>
      <c r="L28" s="6">
        <v>3.0213227451360001</v>
      </c>
      <c r="M28" s="6">
        <v>19.925328058934699</v>
      </c>
      <c r="N28" s="3">
        <v>2941.7166666666699</v>
      </c>
      <c r="O28" s="3">
        <v>4.3868453221178596</v>
      </c>
      <c r="P28" s="3">
        <v>52.189262578083401</v>
      </c>
      <c r="Q28" s="6">
        <v>4900.9799999999996</v>
      </c>
      <c r="R28" s="6">
        <v>1.77158157690062</v>
      </c>
      <c r="S28" s="6">
        <v>16.711147084797499</v>
      </c>
      <c r="T28" s="3">
        <v>46.713333333333303</v>
      </c>
      <c r="U28" s="3">
        <v>24.743582965269699</v>
      </c>
      <c r="V28" s="3">
        <v>8.4765814037056106</v>
      </c>
      <c r="W28" s="6">
        <v>1570.07666666667</v>
      </c>
      <c r="X28" s="6">
        <v>4.1120798913383396</v>
      </c>
      <c r="Y28" s="6">
        <v>23.990238180818501</v>
      </c>
      <c r="Z28" s="3">
        <v>34080.406666666699</v>
      </c>
      <c r="AA28" s="3">
        <v>0.32767135607901099</v>
      </c>
      <c r="AB28" s="3">
        <v>10.610062359020301</v>
      </c>
      <c r="AC28" s="6">
        <v>1139.57666666667</v>
      </c>
      <c r="AD28" s="6">
        <v>4.08126706672323</v>
      </c>
      <c r="AE28" s="6">
        <v>0.72584288037834999</v>
      </c>
      <c r="AF28" s="3">
        <v>561340.19333333301</v>
      </c>
      <c r="AG28" s="3">
        <v>1.10751920071319</v>
      </c>
      <c r="AH28" s="3">
        <v>58.463390597806502</v>
      </c>
      <c r="AI28" s="6">
        <v>255.27</v>
      </c>
      <c r="AJ28" s="6">
        <v>7.0698364569035199</v>
      </c>
      <c r="AK28" s="6" t="s">
        <v>32</v>
      </c>
      <c r="AL28" s="3">
        <v>14382.27</v>
      </c>
      <c r="AM28" s="3">
        <v>1.2986427030757199</v>
      </c>
      <c r="AN28" s="3">
        <v>8.7697466078726301</v>
      </c>
      <c r="AO28" s="6">
        <v>186379.186666667</v>
      </c>
      <c r="AP28" s="6">
        <v>0.47690898892447597</v>
      </c>
      <c r="AQ28" s="6">
        <v>46.733759697428802</v>
      </c>
      <c r="AR28" s="3">
        <v>3313.86333333333</v>
      </c>
      <c r="AS28" s="3">
        <v>3.3134812592471001</v>
      </c>
      <c r="AT28" s="3">
        <v>5.3352435546463699</v>
      </c>
      <c r="AU28" s="6">
        <v>11.68</v>
      </c>
      <c r="AV28" s="6">
        <v>89.208384736523897</v>
      </c>
      <c r="AW28" s="6">
        <v>1.61382204994629E-2</v>
      </c>
      <c r="AX28" s="3">
        <v>8.3433333333333302</v>
      </c>
      <c r="AY28" s="3">
        <v>34.599496755271197</v>
      </c>
      <c r="AZ28" s="3" t="s">
        <v>32</v>
      </c>
      <c r="BA28" s="6">
        <v>98.436666666666696</v>
      </c>
      <c r="BB28" s="6">
        <v>16.349081035966002</v>
      </c>
      <c r="BC28" s="6">
        <v>0.123227102309174</v>
      </c>
      <c r="BD28" s="3">
        <v>9626.9766666666692</v>
      </c>
      <c r="BE28" s="3">
        <v>2.37542021827546</v>
      </c>
      <c r="BF28" s="3">
        <v>0.72276252480591496</v>
      </c>
      <c r="BG28" s="6">
        <v>218026.85666666701</v>
      </c>
      <c r="BH28" s="6">
        <v>0.45904628498111499</v>
      </c>
      <c r="BI28" s="3">
        <v>17343.426666666699</v>
      </c>
      <c r="BJ28" s="3">
        <v>1.18734183111209</v>
      </c>
      <c r="BK28" s="6">
        <v>55001.24</v>
      </c>
      <c r="BL28" s="6">
        <v>0.102354880920453</v>
      </c>
      <c r="BM28" s="3">
        <v>5278.2</v>
      </c>
      <c r="BN28" s="3">
        <v>3.6889715194902801</v>
      </c>
      <c r="BO28" s="6">
        <v>557389.27666666696</v>
      </c>
      <c r="BP28" s="6">
        <v>0.17441437818589101</v>
      </c>
      <c r="BQ28" s="3">
        <v>671940.62666666706</v>
      </c>
      <c r="BR28" s="3">
        <v>0.32147997493354802</v>
      </c>
    </row>
    <row r="29" spans="1:70" x14ac:dyDescent="0.35">
      <c r="A29" s="2"/>
      <c r="B29" s="2" t="b">
        <v>0</v>
      </c>
      <c r="C29" s="2" t="s">
        <v>31</v>
      </c>
      <c r="D29" s="4">
        <v>46175.682719907403</v>
      </c>
      <c r="E29" s="5" t="s">
        <v>28</v>
      </c>
      <c r="F29" s="6" t="s">
        <v>110</v>
      </c>
      <c r="G29" s="2" t="s">
        <v>16</v>
      </c>
      <c r="H29" s="3">
        <v>29500.13</v>
      </c>
      <c r="I29" s="3">
        <v>1.1980811093987001</v>
      </c>
      <c r="J29" s="3">
        <v>46.589501274952902</v>
      </c>
      <c r="K29" s="6">
        <v>3901.2933333333299</v>
      </c>
      <c r="L29" s="6">
        <v>1.74713605728821</v>
      </c>
      <c r="M29" s="6">
        <v>18.661662973584701</v>
      </c>
      <c r="N29" s="3">
        <v>2003.91</v>
      </c>
      <c r="O29" s="3">
        <v>6.43839892063873</v>
      </c>
      <c r="P29" s="3">
        <v>33.742086164256399</v>
      </c>
      <c r="Q29" s="6">
        <v>4124.9233333333304</v>
      </c>
      <c r="R29" s="6">
        <v>5.6774150097181</v>
      </c>
      <c r="S29" s="6">
        <v>6.5144366328569596</v>
      </c>
      <c r="T29" s="3">
        <v>71.739999999999995</v>
      </c>
      <c r="U29" s="3">
        <v>59.338688062201797</v>
      </c>
      <c r="V29" s="3">
        <v>16.715118475144902</v>
      </c>
      <c r="W29" s="6">
        <v>1761.96333333333</v>
      </c>
      <c r="X29" s="6">
        <v>3.84308662941794</v>
      </c>
      <c r="Y29" s="6">
        <v>28.997453128923301</v>
      </c>
      <c r="Z29" s="3">
        <v>31657.2833333333</v>
      </c>
      <c r="AA29" s="3">
        <v>1.3909306598537501</v>
      </c>
      <c r="AB29" s="3">
        <v>9.2176805008382505</v>
      </c>
      <c r="AC29" s="6">
        <v>1129.57</v>
      </c>
      <c r="AD29" s="6">
        <v>4.4616209586687896</v>
      </c>
      <c r="AE29" s="6">
        <v>0.67965171399327096</v>
      </c>
      <c r="AF29" s="3">
        <v>540255.29333333299</v>
      </c>
      <c r="AG29" s="3">
        <v>1.81888283336058</v>
      </c>
      <c r="AH29" s="3">
        <v>61.470290968413003</v>
      </c>
      <c r="AI29" s="6">
        <v>245.26</v>
      </c>
      <c r="AJ29" s="6">
        <v>7.06916275942437</v>
      </c>
      <c r="AK29" s="6" t="s">
        <v>32</v>
      </c>
      <c r="AL29" s="3">
        <v>12740.62</v>
      </c>
      <c r="AM29" s="3">
        <v>1.40968704574351</v>
      </c>
      <c r="AN29" s="3">
        <v>7.2656192719717998</v>
      </c>
      <c r="AO29" s="6">
        <v>516819.88666666701</v>
      </c>
      <c r="AP29" s="6">
        <v>5.22192476383148E-2</v>
      </c>
      <c r="AQ29" s="6">
        <v>124.771842997498</v>
      </c>
      <c r="AR29" s="3">
        <v>3242.11333333333</v>
      </c>
      <c r="AS29" s="3">
        <v>1.84210140009059</v>
      </c>
      <c r="AT29" s="3">
        <v>4.95886240557512</v>
      </c>
      <c r="AU29" s="6">
        <v>6.6766666666666703</v>
      </c>
      <c r="AV29" s="6">
        <v>114.53988312768401</v>
      </c>
      <c r="AW29" s="6">
        <v>8.0063388921143997E-3</v>
      </c>
      <c r="AX29" s="3">
        <v>8.3466666666666693</v>
      </c>
      <c r="AY29" s="3">
        <v>69.240529487877197</v>
      </c>
      <c r="AZ29" s="3" t="s">
        <v>32</v>
      </c>
      <c r="BA29" s="6">
        <v>110.12</v>
      </c>
      <c r="BB29" s="6">
        <v>9.09008354522331</v>
      </c>
      <c r="BC29" s="6">
        <v>0.14200265014960201</v>
      </c>
      <c r="BD29" s="3">
        <v>10996.196666666699</v>
      </c>
      <c r="BE29" s="3">
        <v>2.1194943717516899</v>
      </c>
      <c r="BF29" s="3">
        <v>0.83457078783521099</v>
      </c>
      <c r="BG29" s="6">
        <v>200930.99</v>
      </c>
      <c r="BH29" s="6">
        <v>1.64076176553527</v>
      </c>
      <c r="BI29" s="3">
        <v>18045.0366666667</v>
      </c>
      <c r="BJ29" s="3">
        <v>0.88222577685188397</v>
      </c>
      <c r="BK29" s="6">
        <v>50301.08</v>
      </c>
      <c r="BL29" s="6">
        <v>1.5539045592957199</v>
      </c>
      <c r="BM29" s="3">
        <v>5294.86333333333</v>
      </c>
      <c r="BN29" s="3">
        <v>2.95615506726126</v>
      </c>
      <c r="BO29" s="6">
        <v>503084.16</v>
      </c>
      <c r="BP29" s="6">
        <v>2.6881541433750602</v>
      </c>
      <c r="BQ29" s="3">
        <v>672791.51666666695</v>
      </c>
      <c r="BR29" s="3">
        <v>0.23579212333264199</v>
      </c>
    </row>
    <row r="30" spans="1:70" x14ac:dyDescent="0.35">
      <c r="A30" s="2"/>
      <c r="B30" s="2" t="b">
        <v>0</v>
      </c>
      <c r="C30" s="2" t="s">
        <v>117</v>
      </c>
      <c r="D30" s="4">
        <v>46175.685775462996</v>
      </c>
      <c r="E30" s="5" t="s">
        <v>28</v>
      </c>
      <c r="F30" s="6" t="s">
        <v>110</v>
      </c>
      <c r="G30" s="2" t="s">
        <v>70</v>
      </c>
      <c r="H30" s="3">
        <v>25120.73</v>
      </c>
      <c r="I30" s="3">
        <v>0.24402866229030701</v>
      </c>
      <c r="J30" s="3">
        <v>37.314321776407198</v>
      </c>
      <c r="K30" s="6">
        <v>4043.13666666667</v>
      </c>
      <c r="L30" s="6">
        <v>2.7974767806220799</v>
      </c>
      <c r="M30" s="6">
        <v>20.125766048299401</v>
      </c>
      <c r="N30" s="3">
        <v>2394.38666666667</v>
      </c>
      <c r="O30" s="3">
        <v>2.40491132939656</v>
      </c>
      <c r="P30" s="3">
        <v>41.937179343885198</v>
      </c>
      <c r="Q30" s="6">
        <v>3741.08</v>
      </c>
      <c r="R30" s="6">
        <v>4.6076018071165601</v>
      </c>
      <c r="S30" s="6">
        <v>3.8099574214087801</v>
      </c>
      <c r="T30" s="3">
        <v>40.043333333333301</v>
      </c>
      <c r="U30" s="3">
        <v>12.4989615395841</v>
      </c>
      <c r="V30" s="3">
        <v>5.9348058754640096</v>
      </c>
      <c r="W30" s="6">
        <v>1329.79666666667</v>
      </c>
      <c r="X30" s="6">
        <v>5.0127683714770503</v>
      </c>
      <c r="Y30" s="6">
        <v>13.906147046165501</v>
      </c>
      <c r="Z30" s="3">
        <v>36177.67</v>
      </c>
      <c r="AA30" s="3">
        <v>2.33538976003386</v>
      </c>
      <c r="AB30" s="3">
        <v>11.3099629834739</v>
      </c>
      <c r="AC30" s="6">
        <v>1219.6666666666699</v>
      </c>
      <c r="AD30" s="6">
        <v>1.6583409115697201</v>
      </c>
      <c r="AE30" s="6">
        <v>0.78620809922333401</v>
      </c>
      <c r="AF30" s="3">
        <v>568088.93999999994</v>
      </c>
      <c r="AG30" s="3">
        <v>0.87649503849411803</v>
      </c>
      <c r="AH30" s="3">
        <v>68.402260477083502</v>
      </c>
      <c r="AI30" s="6">
        <v>312</v>
      </c>
      <c r="AJ30" s="6">
        <v>6.6799616261934798</v>
      </c>
      <c r="AK30" s="6" t="s">
        <v>32</v>
      </c>
      <c r="AL30" s="3">
        <v>15100.3866666667</v>
      </c>
      <c r="AM30" s="3">
        <v>1.1409087431867799</v>
      </c>
      <c r="AN30" s="3">
        <v>9.1990696962722804</v>
      </c>
      <c r="AO30" s="6">
        <v>596195.64666666696</v>
      </c>
      <c r="AP30" s="6">
        <v>7.3540552114921706E-2</v>
      </c>
      <c r="AQ30" s="6">
        <v>148.73959938907299</v>
      </c>
      <c r="AR30" s="3">
        <v>3252.1233333333298</v>
      </c>
      <c r="AS30" s="3">
        <v>4.0180738742375803</v>
      </c>
      <c r="AT30" s="3">
        <v>5.1762954500374203</v>
      </c>
      <c r="AU30" s="6">
        <v>18.3533333333333</v>
      </c>
      <c r="AV30" s="6">
        <v>15.728757787585099</v>
      </c>
      <c r="AW30" s="6">
        <v>2.7156248068611302E-2</v>
      </c>
      <c r="AX30" s="3">
        <v>5.0066666666666704</v>
      </c>
      <c r="AY30" s="3">
        <v>99.966727679775602</v>
      </c>
      <c r="AZ30" s="3" t="s">
        <v>32</v>
      </c>
      <c r="BA30" s="6">
        <v>90.096666666666707</v>
      </c>
      <c r="BB30" s="6">
        <v>5.5551453984619199</v>
      </c>
      <c r="BC30" s="6">
        <v>0.111264356346612</v>
      </c>
      <c r="BD30" s="3">
        <v>24832.84</v>
      </c>
      <c r="BE30" s="3">
        <v>1.3788719994854599</v>
      </c>
      <c r="BF30" s="3">
        <v>1.97389664849691</v>
      </c>
      <c r="BG30" s="6">
        <v>192870.89333333299</v>
      </c>
      <c r="BH30" s="6">
        <v>6.1708753152206999</v>
      </c>
      <c r="BI30" s="3">
        <v>17465.333333333299</v>
      </c>
      <c r="BJ30" s="3">
        <v>0.93251446183891795</v>
      </c>
      <c r="BK30" s="6">
        <v>48417.823333333297</v>
      </c>
      <c r="BL30" s="6">
        <v>7.9880254547309404</v>
      </c>
      <c r="BM30" s="3">
        <v>5229.80666666667</v>
      </c>
      <c r="BN30" s="3">
        <v>4.7882133076887996</v>
      </c>
      <c r="BO30" s="6">
        <v>482999.12</v>
      </c>
      <c r="BP30" s="6">
        <v>7.9394212719889099</v>
      </c>
      <c r="BQ30" s="3">
        <v>673163.17333333299</v>
      </c>
      <c r="BR30" s="3">
        <v>0.35036693753085402</v>
      </c>
    </row>
    <row r="31" spans="1:70" x14ac:dyDescent="0.35">
      <c r="A31" s="2"/>
      <c r="B31" s="2" t="b">
        <v>0</v>
      </c>
      <c r="C31" s="2" t="s">
        <v>120</v>
      </c>
      <c r="D31" s="4">
        <v>46175.688773148097</v>
      </c>
      <c r="E31" s="5" t="s">
        <v>28</v>
      </c>
      <c r="F31" s="6" t="s">
        <v>110</v>
      </c>
      <c r="G31" s="2" t="s">
        <v>118</v>
      </c>
      <c r="H31" s="3">
        <v>25186.0333333333</v>
      </c>
      <c r="I31" s="3">
        <v>1.1177814188389099</v>
      </c>
      <c r="J31" s="3">
        <v>37.623413471819802</v>
      </c>
      <c r="K31" s="6">
        <v>3759.4366666666701</v>
      </c>
      <c r="L31" s="6">
        <v>8.5514838295314206</v>
      </c>
      <c r="M31" s="6">
        <v>18.609878969708699</v>
      </c>
      <c r="N31" s="3">
        <v>2501.1833333333302</v>
      </c>
      <c r="O31" s="3">
        <v>8.8094654076277603</v>
      </c>
      <c r="P31" s="3">
        <v>43.957227935975801</v>
      </c>
      <c r="Q31" s="6">
        <v>3804.5033333333299</v>
      </c>
      <c r="R31" s="6">
        <v>4.36687104287995</v>
      </c>
      <c r="S31" s="6">
        <v>4.5674190819456104</v>
      </c>
      <c r="T31" s="3">
        <v>50.053333333333299</v>
      </c>
      <c r="U31" s="3">
        <v>17.313587254667599</v>
      </c>
      <c r="V31" s="3">
        <v>9.61263536401575</v>
      </c>
      <c r="W31" s="6">
        <v>1451.59666666667</v>
      </c>
      <c r="X31" s="6">
        <v>7.2662474719835997</v>
      </c>
      <c r="Y31" s="6">
        <v>18.915414855803999</v>
      </c>
      <c r="Z31" s="3">
        <v>33465</v>
      </c>
      <c r="AA31" s="3">
        <v>1.2151220793381901</v>
      </c>
      <c r="AB31" s="3">
        <v>10.3105878668934</v>
      </c>
      <c r="AC31" s="6">
        <v>1154.5933333333301</v>
      </c>
      <c r="AD31" s="6">
        <v>7.4374447073234</v>
      </c>
      <c r="AE31" s="6">
        <v>0.73317605853354395</v>
      </c>
      <c r="AF31" s="3">
        <v>561611.76666666695</v>
      </c>
      <c r="AG31" s="3">
        <v>0.36082448786258697</v>
      </c>
      <c r="AH31" s="3">
        <v>59.186151519373603</v>
      </c>
      <c r="AI31" s="6">
        <v>458.82666666666699</v>
      </c>
      <c r="AJ31" s="6">
        <v>9.7779211182212205</v>
      </c>
      <c r="AK31" s="6">
        <v>1.9641325870882399E-2</v>
      </c>
      <c r="AL31" s="3">
        <v>13836.0933333333</v>
      </c>
      <c r="AM31" s="3">
        <v>1.2564172600065</v>
      </c>
      <c r="AN31" s="3">
        <v>8.33530052946133</v>
      </c>
      <c r="AO31" s="6">
        <v>621672.183333333</v>
      </c>
      <c r="AP31" s="6">
        <v>0.310530022184134</v>
      </c>
      <c r="AQ31" s="6">
        <v>155.404080822482</v>
      </c>
      <c r="AR31" s="3">
        <v>5101.2700000000004</v>
      </c>
      <c r="AS31" s="3">
        <v>1.0617417699758001</v>
      </c>
      <c r="AT31" s="3">
        <v>8.6976471312925998</v>
      </c>
      <c r="AU31" s="6">
        <v>8.3433333333333302</v>
      </c>
      <c r="AV31" s="6">
        <v>124.865418167136</v>
      </c>
      <c r="AW31" s="6">
        <v>1.07411374902226E-2</v>
      </c>
      <c r="AX31" s="3">
        <v>3.33666666666667</v>
      </c>
      <c r="AY31" s="3">
        <v>173.20508075688801</v>
      </c>
      <c r="AZ31" s="3" t="s">
        <v>32</v>
      </c>
      <c r="BA31" s="6">
        <v>105.11</v>
      </c>
      <c r="BB31" s="6">
        <v>23.8131481305299</v>
      </c>
      <c r="BC31" s="6">
        <v>0.13112487820971999</v>
      </c>
      <c r="BD31" s="3">
        <v>81145.399999999994</v>
      </c>
      <c r="BE31" s="3">
        <v>1.6261838101147099</v>
      </c>
      <c r="BF31" s="3">
        <v>6.6036545190159996</v>
      </c>
      <c r="BG31" s="6">
        <v>215838.39333333299</v>
      </c>
      <c r="BH31" s="6">
        <v>0.73402500554695704</v>
      </c>
      <c r="BI31" s="3">
        <v>17430.330000000002</v>
      </c>
      <c r="BJ31" s="3">
        <v>0.357277979417159</v>
      </c>
      <c r="BK31" s="6">
        <v>54130.393333333297</v>
      </c>
      <c r="BL31" s="6">
        <v>1.3956308379411499</v>
      </c>
      <c r="BM31" s="3">
        <v>5386.69333333333</v>
      </c>
      <c r="BN31" s="3">
        <v>1.4753873098305801</v>
      </c>
      <c r="BO31" s="6">
        <v>543242.58666666702</v>
      </c>
      <c r="BP31" s="6">
        <v>1.13661922254666</v>
      </c>
      <c r="BQ31" s="3">
        <v>674075.84666666703</v>
      </c>
      <c r="BR31" s="3">
        <v>0.81747010145620103</v>
      </c>
    </row>
    <row r="32" spans="1:70" x14ac:dyDescent="0.35">
      <c r="A32" s="2"/>
      <c r="B32" s="2" t="b">
        <v>0</v>
      </c>
      <c r="C32" s="2" t="s">
        <v>107</v>
      </c>
      <c r="D32" s="4">
        <v>46175.691840277803</v>
      </c>
      <c r="E32" s="5" t="s">
        <v>28</v>
      </c>
      <c r="F32" s="6" t="s">
        <v>110</v>
      </c>
      <c r="G32" s="2" t="s">
        <v>46</v>
      </c>
      <c r="H32" s="3">
        <v>9833.5366666666705</v>
      </c>
      <c r="I32" s="3">
        <v>2.0730536803576598</v>
      </c>
      <c r="J32" s="3" t="s">
        <v>32</v>
      </c>
      <c r="K32" s="6">
        <v>125.133333333333</v>
      </c>
      <c r="L32" s="6">
        <v>10.5807903590908</v>
      </c>
      <c r="M32" s="6" t="s">
        <v>32</v>
      </c>
      <c r="N32" s="3">
        <v>66.739999999999995</v>
      </c>
      <c r="O32" s="3">
        <v>18.876670012653801</v>
      </c>
      <c r="P32" s="3" t="s">
        <v>32</v>
      </c>
      <c r="Q32" s="6">
        <v>3086.91</v>
      </c>
      <c r="R32" s="6">
        <v>5.5578058876498</v>
      </c>
      <c r="S32" s="6" t="s">
        <v>32</v>
      </c>
      <c r="T32" s="3">
        <v>3.33666666666667</v>
      </c>
      <c r="U32" s="3">
        <v>173.20508075688801</v>
      </c>
      <c r="V32" s="3" t="s">
        <v>32</v>
      </c>
      <c r="W32" s="6">
        <v>687.40666666666698</v>
      </c>
      <c r="X32" s="6">
        <v>4.2045205374252399</v>
      </c>
      <c r="Y32" s="6" t="s">
        <v>32</v>
      </c>
      <c r="Z32" s="3">
        <v>6805.42</v>
      </c>
      <c r="AA32" s="3">
        <v>1.7983347185299201</v>
      </c>
      <c r="AB32" s="3">
        <v>0.1962814291501</v>
      </c>
      <c r="AC32" s="6">
        <v>278.63</v>
      </c>
      <c r="AD32" s="6">
        <v>5.7738891337880203</v>
      </c>
      <c r="AE32" s="6" t="s">
        <v>32</v>
      </c>
      <c r="AF32" s="3">
        <v>84951.1933333333</v>
      </c>
      <c r="AG32" s="3">
        <v>1.0109240084022399</v>
      </c>
      <c r="AH32" s="3">
        <v>0.82707267752872904</v>
      </c>
      <c r="AI32" s="6">
        <v>518.89</v>
      </c>
      <c r="AJ32" s="6">
        <v>10.625744507437799</v>
      </c>
      <c r="AK32" s="6">
        <v>3.0933770695450301E-2</v>
      </c>
      <c r="AL32" s="3">
        <v>2057.30666666667</v>
      </c>
      <c r="AM32" s="3">
        <v>5.14998579517012</v>
      </c>
      <c r="AN32" s="3">
        <v>8.3273643947472997E-2</v>
      </c>
      <c r="AO32" s="6">
        <v>834.24</v>
      </c>
      <c r="AP32" s="6">
        <v>8.0582974363904505</v>
      </c>
      <c r="AQ32" s="6">
        <v>7.1369393146273996E-2</v>
      </c>
      <c r="AR32" s="3">
        <v>310.33</v>
      </c>
      <c r="AS32" s="3">
        <v>15.386475767066599</v>
      </c>
      <c r="AT32" s="3" t="s">
        <v>32</v>
      </c>
      <c r="AU32" s="6">
        <v>15.02</v>
      </c>
      <c r="AV32" s="6">
        <v>66.644474034620501</v>
      </c>
      <c r="AW32" s="6" t="s">
        <v>32</v>
      </c>
      <c r="AX32" s="3">
        <v>8.3433333333333302</v>
      </c>
      <c r="AY32" s="3">
        <v>34.599496755271197</v>
      </c>
      <c r="AZ32" s="3" t="s">
        <v>32</v>
      </c>
      <c r="BA32" s="6">
        <v>35.04</v>
      </c>
      <c r="BB32" s="6">
        <v>28.567351598173499</v>
      </c>
      <c r="BC32" s="6" t="s">
        <v>32</v>
      </c>
      <c r="BD32" s="3">
        <v>1021.11666666667</v>
      </c>
      <c r="BE32" s="3">
        <v>7.3201513170383601</v>
      </c>
      <c r="BF32" s="3">
        <v>1.3128739306393199E-2</v>
      </c>
      <c r="BG32" s="6">
        <v>219752.903333333</v>
      </c>
      <c r="BH32" s="6">
        <v>0.71607130131306096</v>
      </c>
      <c r="BI32" s="3">
        <v>17527.2133333333</v>
      </c>
      <c r="BJ32" s="3">
        <v>2.19559975831387</v>
      </c>
      <c r="BK32" s="6">
        <v>668878.77</v>
      </c>
      <c r="BL32" s="6">
        <v>0.87304322168501503</v>
      </c>
      <c r="BM32" s="3">
        <v>64477.52</v>
      </c>
      <c r="BN32" s="3">
        <v>1.6479103178138701</v>
      </c>
      <c r="BO32" s="6">
        <v>554184.60666666704</v>
      </c>
      <c r="BP32" s="6">
        <v>0.637858012313955</v>
      </c>
      <c r="BQ32" s="3">
        <v>666787.65</v>
      </c>
      <c r="BR32" s="3">
        <v>1.3728116775183199E-2</v>
      </c>
    </row>
    <row r="33" spans="1:70" x14ac:dyDescent="0.35">
      <c r="A33" s="2"/>
      <c r="B33" s="2" t="b">
        <v>0</v>
      </c>
      <c r="C33" s="2" t="s">
        <v>86</v>
      </c>
      <c r="D33" s="4">
        <v>46175.694837962998</v>
      </c>
      <c r="E33" s="5" t="s">
        <v>28</v>
      </c>
      <c r="F33" s="6" t="s">
        <v>110</v>
      </c>
      <c r="G33" s="2" t="s">
        <v>43</v>
      </c>
      <c r="H33" s="3">
        <v>9875.3166666666693</v>
      </c>
      <c r="I33" s="3">
        <v>3.6041871860662398</v>
      </c>
      <c r="J33" s="3" t="s">
        <v>32</v>
      </c>
      <c r="K33" s="6">
        <v>113.45333333333301</v>
      </c>
      <c r="L33" s="6">
        <v>9.1825755574196801</v>
      </c>
      <c r="M33" s="6" t="s">
        <v>32</v>
      </c>
      <c r="N33" s="3">
        <v>43.376666666666701</v>
      </c>
      <c r="O33" s="3">
        <v>35.250582268891101</v>
      </c>
      <c r="P33" s="3" t="s">
        <v>32</v>
      </c>
      <c r="Q33" s="6">
        <v>3143.64</v>
      </c>
      <c r="R33" s="6">
        <v>5.1628737642924802</v>
      </c>
      <c r="S33" s="6" t="s">
        <v>32</v>
      </c>
      <c r="T33" s="3">
        <v>3.33666666666667</v>
      </c>
      <c r="U33" s="3">
        <v>173.20508075688801</v>
      </c>
      <c r="V33" s="3" t="s">
        <v>32</v>
      </c>
      <c r="W33" s="6">
        <v>610.65666666666698</v>
      </c>
      <c r="X33" s="6">
        <v>9.9728643260739798</v>
      </c>
      <c r="Y33" s="6" t="s">
        <v>32</v>
      </c>
      <c r="Z33" s="3">
        <v>6703.5833333333303</v>
      </c>
      <c r="AA33" s="3">
        <v>2.2718954180642199</v>
      </c>
      <c r="AB33" s="3">
        <v>0.144575638691536</v>
      </c>
      <c r="AC33" s="6">
        <v>273.62666666666701</v>
      </c>
      <c r="AD33" s="6">
        <v>5.5880984682912098</v>
      </c>
      <c r="AE33" s="6" t="s">
        <v>32</v>
      </c>
      <c r="AF33" s="3">
        <v>80827.39</v>
      </c>
      <c r="AG33" s="3">
        <v>1.18014013766396</v>
      </c>
      <c r="AH33" s="3">
        <v>0.17365741540421001</v>
      </c>
      <c r="AI33" s="6">
        <v>393.75333333333299</v>
      </c>
      <c r="AJ33" s="6">
        <v>4.4645603803234701</v>
      </c>
      <c r="AK33" s="6">
        <v>6.0599132360490797E-3</v>
      </c>
      <c r="AL33" s="3">
        <v>2149.0866666666702</v>
      </c>
      <c r="AM33" s="3">
        <v>1.32507118162201</v>
      </c>
      <c r="AN33" s="3">
        <v>0.139059576820035</v>
      </c>
      <c r="AO33" s="6">
        <v>510.55</v>
      </c>
      <c r="AP33" s="6">
        <v>13.8319655484376</v>
      </c>
      <c r="AQ33" s="6" t="s">
        <v>32</v>
      </c>
      <c r="AR33" s="3">
        <v>312</v>
      </c>
      <c r="AS33" s="3">
        <v>7.5800916137241297</v>
      </c>
      <c r="AT33" s="3" t="s">
        <v>32</v>
      </c>
      <c r="AU33" s="6">
        <v>8.3466666666666693</v>
      </c>
      <c r="AV33" s="6">
        <v>69.240529487877197</v>
      </c>
      <c r="AW33" s="6">
        <v>7.2209046284081001E-3</v>
      </c>
      <c r="AX33" s="3">
        <v>3.34</v>
      </c>
      <c r="AY33" s="3">
        <v>86.602540378443905</v>
      </c>
      <c r="AZ33" s="3" t="s">
        <v>32</v>
      </c>
      <c r="BA33" s="6">
        <v>53.386666666666699</v>
      </c>
      <c r="BB33" s="6">
        <v>28.641098093474</v>
      </c>
      <c r="BC33" s="6">
        <v>2.37081759742119E-2</v>
      </c>
      <c r="BD33" s="3">
        <v>812.55333333333294</v>
      </c>
      <c r="BE33" s="3">
        <v>13.8617623024087</v>
      </c>
      <c r="BF33" s="3" t="s">
        <v>32</v>
      </c>
      <c r="BG33" s="6">
        <v>223426.846666667</v>
      </c>
      <c r="BH33" s="6">
        <v>0.25261546745151398</v>
      </c>
      <c r="BI33" s="3">
        <v>17619.093333333301</v>
      </c>
      <c r="BJ33" s="3">
        <v>2.3888914558820602</v>
      </c>
      <c r="BK33" s="6">
        <v>77517.046666666705</v>
      </c>
      <c r="BL33" s="6">
        <v>0.48179150150283401</v>
      </c>
      <c r="BM33" s="3">
        <v>7369.65333333333</v>
      </c>
      <c r="BN33" s="3">
        <v>2.4247860512314698</v>
      </c>
      <c r="BO33" s="6">
        <v>558784.88</v>
      </c>
      <c r="BP33" s="6">
        <v>0.459359405617633</v>
      </c>
      <c r="BQ33" s="3">
        <v>674214.23</v>
      </c>
      <c r="BR33" s="3">
        <v>0.30373099483396598</v>
      </c>
    </row>
    <row r="34" spans="1:70" x14ac:dyDescent="0.35">
      <c r="A34" s="2"/>
      <c r="B34" s="2" t="b">
        <v>0</v>
      </c>
      <c r="C34" s="2" t="s">
        <v>84</v>
      </c>
      <c r="D34" s="4">
        <v>46175.697893518503</v>
      </c>
      <c r="E34" s="5" t="s">
        <v>28</v>
      </c>
      <c r="F34" s="6" t="s">
        <v>110</v>
      </c>
      <c r="G34" s="2" t="s">
        <v>115</v>
      </c>
      <c r="H34" s="3">
        <v>6050.94</v>
      </c>
      <c r="I34" s="3">
        <v>4.90063308321443</v>
      </c>
      <c r="J34" s="3" t="s">
        <v>32</v>
      </c>
      <c r="K34" s="6">
        <v>15.02</v>
      </c>
      <c r="L34" s="6">
        <v>0</v>
      </c>
      <c r="M34" s="6" t="s">
        <v>32</v>
      </c>
      <c r="N34" s="3">
        <v>33.369999999999997</v>
      </c>
      <c r="O34" s="3">
        <v>31.224271313233402</v>
      </c>
      <c r="P34" s="3" t="s">
        <v>32</v>
      </c>
      <c r="Q34" s="6">
        <v>3070.22</v>
      </c>
      <c r="R34" s="6">
        <v>3.4985566215558399</v>
      </c>
      <c r="S34" s="6" t="s">
        <v>32</v>
      </c>
      <c r="T34" s="3">
        <v>3.34</v>
      </c>
      <c r="U34" s="3">
        <v>86.602540378443905</v>
      </c>
      <c r="V34" s="3" t="s">
        <v>32</v>
      </c>
      <c r="W34" s="6">
        <v>630.67666666666696</v>
      </c>
      <c r="X34" s="6">
        <v>2.0993476323326599</v>
      </c>
      <c r="Y34" s="6" t="s">
        <v>32</v>
      </c>
      <c r="Z34" s="3">
        <v>570.613333333333</v>
      </c>
      <c r="AA34" s="3">
        <v>12.7431078298661</v>
      </c>
      <c r="AB34" s="3" t="s">
        <v>32</v>
      </c>
      <c r="AC34" s="6">
        <v>25.03</v>
      </c>
      <c r="AD34" s="6">
        <v>79.984019176987601</v>
      </c>
      <c r="AE34" s="6" t="s">
        <v>32</v>
      </c>
      <c r="AF34" s="3">
        <v>7867.0533333333296</v>
      </c>
      <c r="AG34" s="3">
        <v>2.2960479510451899</v>
      </c>
      <c r="AH34" s="3" t="s">
        <v>32</v>
      </c>
      <c r="AI34" s="6">
        <v>46.713333333333303</v>
      </c>
      <c r="AJ34" s="6">
        <v>44.607128559988602</v>
      </c>
      <c r="AK34" s="6" t="s">
        <v>32</v>
      </c>
      <c r="AL34" s="3">
        <v>168.51333333333301</v>
      </c>
      <c r="AM34" s="3">
        <v>10.432026337898</v>
      </c>
      <c r="AN34" s="3" t="s">
        <v>32</v>
      </c>
      <c r="AO34" s="6">
        <v>140.15</v>
      </c>
      <c r="AP34" s="6">
        <v>7.1423474848378703</v>
      </c>
      <c r="AQ34" s="6" t="s">
        <v>32</v>
      </c>
      <c r="AR34" s="3">
        <v>208.553333333333</v>
      </c>
      <c r="AS34" s="3">
        <v>6.0382594877595599</v>
      </c>
      <c r="AT34" s="3" t="s">
        <v>32</v>
      </c>
      <c r="AU34" s="6">
        <v>1.67</v>
      </c>
      <c r="AV34" s="6">
        <v>173.20508075688801</v>
      </c>
      <c r="AW34" s="6">
        <v>7.3320043401443099E-4</v>
      </c>
      <c r="AX34" s="3">
        <v>0</v>
      </c>
      <c r="AY34" s="3" t="s">
        <v>36</v>
      </c>
      <c r="AZ34" s="3" t="s">
        <v>32</v>
      </c>
      <c r="BA34" s="6">
        <v>3.33666666666667</v>
      </c>
      <c r="BB34" s="6">
        <v>173.20508075688801</v>
      </c>
      <c r="BC34" s="6" t="s">
        <v>32</v>
      </c>
      <c r="BD34" s="3">
        <v>655.71</v>
      </c>
      <c r="BE34" s="3">
        <v>2.7523099424344899</v>
      </c>
      <c r="BF34" s="3" t="s">
        <v>32</v>
      </c>
      <c r="BG34" s="6">
        <v>223792.69333333301</v>
      </c>
      <c r="BH34" s="6">
        <v>2.27069075161904</v>
      </c>
      <c r="BI34" s="3">
        <v>17118.18</v>
      </c>
      <c r="BJ34" s="3">
        <v>6.3594665327089102</v>
      </c>
      <c r="BK34" s="6">
        <v>55889.243333333303</v>
      </c>
      <c r="BL34" s="6">
        <v>1.8791172269081899</v>
      </c>
      <c r="BM34" s="3">
        <v>4974.4833333333299</v>
      </c>
      <c r="BN34" s="3">
        <v>9.0128602647110103</v>
      </c>
      <c r="BO34" s="6">
        <v>573390.39666666696</v>
      </c>
      <c r="BP34" s="6">
        <v>1.25739574293422</v>
      </c>
      <c r="BQ34" s="3">
        <v>638874.47333333304</v>
      </c>
      <c r="BR34" s="3">
        <v>6.6631087470533199</v>
      </c>
    </row>
  </sheetData>
  <mergeCells count="24">
    <mergeCell ref="A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BK1:BL1"/>
    <mergeCell ref="BM1:BN1"/>
    <mergeCell ref="BO1:BP1"/>
    <mergeCell ref="BQ1:BR1"/>
    <mergeCell ref="AX1:AZ1"/>
    <mergeCell ref="BA1:BC1"/>
    <mergeCell ref="BD1:BF1"/>
    <mergeCell ref="BG1:BH1"/>
    <mergeCell ref="BI1:BJ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0000000}">
          <x14:formula1>
            <xm:f>ValueList_Helper!$A$1:$A$20</xm:f>
          </x14:formula1>
          <xm:sqref>E3:E34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2B0C4-137F-400B-94D7-AEF53FADF815}">
  <dimension ref="A1:BR34"/>
  <sheetViews>
    <sheetView topLeftCell="C1" workbookViewId="0">
      <selection activeCell="I7" sqref="I7"/>
    </sheetView>
  </sheetViews>
  <sheetFormatPr defaultRowHeight="14.5" x14ac:dyDescent="0.35"/>
  <cols>
    <col min="4" max="4" width="13.6328125" bestFit="1" customWidth="1"/>
    <col min="6" max="6" width="9.08984375" customWidth="1"/>
    <col min="7" max="7" width="15" customWidth="1"/>
    <col min="8" max="8" width="13.54296875" customWidth="1"/>
    <col min="9" max="9" width="11" bestFit="1" customWidth="1"/>
    <col min="10" max="11" width="10.81640625" bestFit="1" customWidth="1"/>
    <col min="12" max="12" width="10.90625" bestFit="1" customWidth="1"/>
    <col min="50" max="50" width="11.81640625" bestFit="1" customWidth="1"/>
    <col min="51" max="51" width="11.7265625" bestFit="1" customWidth="1"/>
  </cols>
  <sheetData>
    <row r="1" spans="1:70" x14ac:dyDescent="0.35">
      <c r="A1" s="44" t="s">
        <v>28</v>
      </c>
      <c r="B1" s="45"/>
      <c r="C1" s="45"/>
      <c r="D1" s="45"/>
      <c r="E1" s="45"/>
      <c r="F1" s="45"/>
      <c r="G1" s="46"/>
      <c r="H1" s="23" t="s">
        <v>113</v>
      </c>
      <c r="I1" s="23" t="s">
        <v>14</v>
      </c>
      <c r="J1" s="23" t="s">
        <v>76</v>
      </c>
      <c r="K1" s="23" t="s">
        <v>53</v>
      </c>
      <c r="L1" s="23" t="s">
        <v>17</v>
      </c>
      <c r="M1" s="23" t="s">
        <v>22</v>
      </c>
      <c r="N1" s="23" t="s">
        <v>95</v>
      </c>
      <c r="O1" s="23" t="s">
        <v>21</v>
      </c>
      <c r="P1" s="23" t="s">
        <v>87</v>
      </c>
      <c r="Q1" s="23" t="s">
        <v>71</v>
      </c>
      <c r="R1" s="23" t="s">
        <v>52</v>
      </c>
      <c r="S1" s="23" t="s">
        <v>79</v>
      </c>
      <c r="T1" s="23" t="s">
        <v>78</v>
      </c>
      <c r="U1" s="23" t="s">
        <v>1</v>
      </c>
      <c r="V1" s="23" t="s">
        <v>92</v>
      </c>
      <c r="W1" s="23" t="s">
        <v>33</v>
      </c>
      <c r="X1" s="23" t="s">
        <v>122</v>
      </c>
      <c r="AJ1" s="24"/>
      <c r="AK1" s="25"/>
      <c r="AS1" s="24"/>
      <c r="AT1" s="25"/>
      <c r="AV1" s="24"/>
      <c r="AW1" s="25"/>
      <c r="BB1" s="24"/>
      <c r="BC1" s="25"/>
      <c r="BE1" s="24"/>
      <c r="BF1" s="25"/>
      <c r="BG1" s="23"/>
      <c r="BH1" s="25"/>
      <c r="BI1" s="23"/>
      <c r="BJ1" s="25"/>
      <c r="BK1" s="23"/>
      <c r="BL1" s="25"/>
      <c r="BM1" s="23"/>
      <c r="BN1" s="25"/>
      <c r="BO1" s="23"/>
      <c r="BP1" s="25"/>
      <c r="BQ1" s="23"/>
      <c r="BR1" s="25"/>
    </row>
    <row r="2" spans="1:70" x14ac:dyDescent="0.35">
      <c r="A2" s="1" t="s">
        <v>110</v>
      </c>
      <c r="B2" s="1" t="s">
        <v>123</v>
      </c>
      <c r="C2" s="1" t="s">
        <v>50</v>
      </c>
      <c r="D2" s="1" t="s">
        <v>67</v>
      </c>
      <c r="E2" s="1" t="s">
        <v>62</v>
      </c>
      <c r="F2" s="1" t="s">
        <v>29</v>
      </c>
      <c r="G2" s="1" t="s">
        <v>106</v>
      </c>
      <c r="H2" s="1" t="s">
        <v>49</v>
      </c>
      <c r="I2" s="1" t="s">
        <v>49</v>
      </c>
      <c r="J2" s="1" t="s">
        <v>49</v>
      </c>
      <c r="K2" s="1" t="s">
        <v>49</v>
      </c>
      <c r="L2" s="1" t="s">
        <v>49</v>
      </c>
      <c r="M2" s="1" t="s">
        <v>49</v>
      </c>
      <c r="N2" s="1" t="s">
        <v>49</v>
      </c>
      <c r="O2" s="1" t="s">
        <v>49</v>
      </c>
      <c r="P2" s="1" t="s">
        <v>49</v>
      </c>
      <c r="Q2" s="1" t="s">
        <v>49</v>
      </c>
      <c r="R2" s="1" t="s">
        <v>49</v>
      </c>
      <c r="S2" s="1" t="s">
        <v>49</v>
      </c>
      <c r="T2" s="1" t="s">
        <v>49</v>
      </c>
      <c r="U2" s="1" t="s">
        <v>49</v>
      </c>
      <c r="V2" s="1" t="s">
        <v>49</v>
      </c>
      <c r="W2" s="1" t="s">
        <v>49</v>
      </c>
      <c r="X2" s="1" t="s">
        <v>49</v>
      </c>
      <c r="AJ2" s="1"/>
      <c r="AS2" s="1"/>
      <c r="AV2" s="1"/>
      <c r="BB2" s="1"/>
      <c r="BE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spans="1:70" x14ac:dyDescent="0.35">
      <c r="A3" s="2"/>
      <c r="B3" s="2" t="b">
        <v>0</v>
      </c>
      <c r="C3" s="2" t="s">
        <v>63</v>
      </c>
      <c r="D3" s="4">
        <v>46175.603379629603</v>
      </c>
      <c r="E3" s="5" t="s">
        <v>28</v>
      </c>
      <c r="F3" s="6" t="s">
        <v>110</v>
      </c>
      <c r="G3" s="2" t="s">
        <v>0</v>
      </c>
      <c r="H3" s="3"/>
      <c r="I3" s="6"/>
      <c r="J3" s="3"/>
      <c r="K3" s="6"/>
      <c r="L3" s="3"/>
      <c r="M3" s="6"/>
      <c r="N3" s="3"/>
      <c r="O3" s="6"/>
      <c r="P3" s="3"/>
      <c r="Q3" s="6"/>
      <c r="R3" s="3"/>
      <c r="S3" s="6"/>
      <c r="T3" s="3"/>
      <c r="U3" s="6"/>
      <c r="V3" s="3"/>
      <c r="W3" s="6"/>
      <c r="X3" s="3"/>
      <c r="AJ3" s="6"/>
      <c r="AS3" s="3"/>
      <c r="AV3" s="6"/>
      <c r="BB3" s="6"/>
      <c r="BE3" s="3"/>
      <c r="BG3" s="6"/>
      <c r="BH3" s="6"/>
      <c r="BI3" s="3"/>
      <c r="BJ3" s="3"/>
      <c r="BK3" s="6"/>
      <c r="BL3" s="6"/>
      <c r="BM3" s="3"/>
      <c r="BN3" s="3"/>
      <c r="BO3" s="6"/>
      <c r="BP3" s="6"/>
      <c r="BQ3" s="3"/>
      <c r="BR3" s="3"/>
    </row>
    <row r="4" spans="1:70" x14ac:dyDescent="0.35">
      <c r="A4" s="2"/>
      <c r="B4" s="2" t="b">
        <v>0</v>
      </c>
      <c r="C4" s="2" t="s">
        <v>93</v>
      </c>
      <c r="D4" s="4">
        <v>46175.606469907398</v>
      </c>
      <c r="E4" s="5" t="s">
        <v>42</v>
      </c>
      <c r="F4" s="6" t="s">
        <v>89</v>
      </c>
      <c r="G4" s="2" t="s">
        <v>114</v>
      </c>
      <c r="H4" s="3">
        <v>0</v>
      </c>
      <c r="I4" s="6">
        <v>0</v>
      </c>
      <c r="J4" s="3">
        <v>0</v>
      </c>
      <c r="K4" s="6">
        <v>0</v>
      </c>
      <c r="L4" s="3">
        <v>0</v>
      </c>
      <c r="M4" s="6">
        <v>0</v>
      </c>
      <c r="N4" s="3">
        <v>0</v>
      </c>
      <c r="O4" s="6">
        <v>0</v>
      </c>
      <c r="P4" s="3">
        <v>0</v>
      </c>
      <c r="Q4" s="6">
        <v>0</v>
      </c>
      <c r="R4" s="3">
        <v>0</v>
      </c>
      <c r="S4" s="6">
        <v>0</v>
      </c>
      <c r="T4" s="3">
        <v>0</v>
      </c>
      <c r="U4" s="6">
        <v>0</v>
      </c>
      <c r="V4" s="3">
        <v>0</v>
      </c>
      <c r="W4" s="6">
        <v>0</v>
      </c>
      <c r="X4" s="3">
        <v>0</v>
      </c>
      <c r="AJ4" s="6"/>
      <c r="AS4" s="3"/>
      <c r="AV4" s="6"/>
      <c r="BB4" s="6"/>
      <c r="BE4" s="3"/>
      <c r="BG4" s="6"/>
      <c r="BH4" s="6"/>
      <c r="BI4" s="3"/>
      <c r="BJ4" s="3"/>
      <c r="BK4" s="6"/>
      <c r="BL4" s="6"/>
      <c r="BM4" s="3"/>
      <c r="BN4" s="3"/>
      <c r="BO4" s="6"/>
      <c r="BP4" s="6"/>
      <c r="BQ4" s="3"/>
      <c r="BR4" s="3"/>
    </row>
    <row r="5" spans="1:70" x14ac:dyDescent="0.35">
      <c r="A5" s="2"/>
      <c r="B5" s="2" t="b">
        <v>0</v>
      </c>
      <c r="C5" s="2" t="s">
        <v>13</v>
      </c>
      <c r="D5" s="4">
        <v>46175.609571759298</v>
      </c>
      <c r="E5" s="5" t="s">
        <v>75</v>
      </c>
      <c r="F5" s="6" t="s">
        <v>23</v>
      </c>
      <c r="G5" s="2" t="s">
        <v>121</v>
      </c>
      <c r="H5" s="3">
        <v>3.5374570053914201</v>
      </c>
      <c r="I5" s="6">
        <v>4.9573132575468897</v>
      </c>
      <c r="J5" s="3">
        <v>5.8742856976018301</v>
      </c>
      <c r="K5" s="6">
        <v>2.8745248922976199</v>
      </c>
      <c r="L5" s="3">
        <v>3.7233432153377102</v>
      </c>
      <c r="M5" s="6">
        <v>5.67962683876301</v>
      </c>
      <c r="N5" s="3">
        <v>5.2319553083740002</v>
      </c>
      <c r="O5" s="6">
        <v>5.2712596668057401</v>
      </c>
      <c r="P5" s="3">
        <v>5.6250339738498001</v>
      </c>
      <c r="Q5" s="6">
        <v>5.2669891595522698</v>
      </c>
      <c r="R5" s="3">
        <v>5.1777109252532396</v>
      </c>
      <c r="S5" s="6">
        <v>8.2199921064242503</v>
      </c>
      <c r="T5" s="3">
        <v>5.0249083475469796</v>
      </c>
      <c r="U5" s="6">
        <v>5.6379715966459898</v>
      </c>
      <c r="V5" s="3">
        <v>5.2350026541083103</v>
      </c>
      <c r="W5" s="6">
        <v>5.0914944651994798</v>
      </c>
      <c r="X5" s="3">
        <v>5.1341281868563398</v>
      </c>
      <c r="AJ5" s="6"/>
      <c r="AS5" s="3"/>
      <c r="AV5" s="6"/>
      <c r="BB5" s="6"/>
      <c r="BE5" s="3"/>
      <c r="BG5" s="6"/>
      <c r="BH5" s="6"/>
      <c r="BI5" s="3"/>
      <c r="BJ5" s="3"/>
      <c r="BK5" s="6"/>
      <c r="BL5" s="6"/>
      <c r="BM5" s="3"/>
      <c r="BN5" s="3"/>
      <c r="BO5" s="6"/>
      <c r="BP5" s="6"/>
      <c r="BQ5" s="3"/>
      <c r="BR5" s="3"/>
    </row>
    <row r="6" spans="1:70" x14ac:dyDescent="0.35">
      <c r="A6" s="2"/>
      <c r="B6" s="2" t="b">
        <v>0</v>
      </c>
      <c r="C6" s="2" t="s">
        <v>88</v>
      </c>
      <c r="D6" s="4">
        <v>46175.612731481502</v>
      </c>
      <c r="E6" s="5" t="s">
        <v>75</v>
      </c>
      <c r="F6" s="6" t="s">
        <v>58</v>
      </c>
      <c r="G6" s="2" t="s">
        <v>104</v>
      </c>
      <c r="H6" s="3">
        <v>50.270838542427498</v>
      </c>
      <c r="I6" s="6">
        <v>50.0168722206501</v>
      </c>
      <c r="J6" s="3">
        <v>54.012861478471599</v>
      </c>
      <c r="K6" s="6">
        <v>52.048321909460597</v>
      </c>
      <c r="L6" s="3">
        <v>48.833064046084999</v>
      </c>
      <c r="M6" s="6">
        <v>55.261739509583798</v>
      </c>
      <c r="N6" s="3">
        <v>50.339507938063797</v>
      </c>
      <c r="O6" s="6">
        <v>50.890326119938003</v>
      </c>
      <c r="P6" s="3">
        <v>49.232313549815402</v>
      </c>
      <c r="Q6" s="6">
        <v>50.129836885142197</v>
      </c>
      <c r="R6" s="3">
        <v>50.283707432065697</v>
      </c>
      <c r="S6" s="6">
        <v>51.472578679817097</v>
      </c>
      <c r="T6" s="3">
        <v>51.4270181951265</v>
      </c>
      <c r="U6" s="6">
        <v>49.555167942725099</v>
      </c>
      <c r="V6" s="3">
        <v>48.351973876703099</v>
      </c>
      <c r="W6" s="6">
        <v>49.048141082038697</v>
      </c>
      <c r="X6" s="3">
        <v>48.725398019027303</v>
      </c>
      <c r="AJ6" s="6"/>
      <c r="AS6" s="3"/>
      <c r="AV6" s="6"/>
      <c r="BB6" s="6"/>
      <c r="BE6" s="3"/>
      <c r="BG6" s="6"/>
      <c r="BH6" s="6"/>
      <c r="BI6" s="3"/>
      <c r="BJ6" s="3"/>
      <c r="BK6" s="6"/>
      <c r="BL6" s="6"/>
      <c r="BM6" s="3"/>
      <c r="BN6" s="3"/>
      <c r="BO6" s="6"/>
      <c r="BP6" s="6"/>
      <c r="BQ6" s="3"/>
      <c r="BR6" s="3"/>
    </row>
    <row r="7" spans="1:70" x14ac:dyDescent="0.35">
      <c r="A7" s="2"/>
      <c r="B7" s="2" t="b">
        <v>0</v>
      </c>
      <c r="C7" s="2" t="s">
        <v>91</v>
      </c>
      <c r="D7" s="4">
        <v>46175.615833333301</v>
      </c>
      <c r="E7" s="5" t="s">
        <v>75</v>
      </c>
      <c r="F7" s="6" t="s">
        <v>116</v>
      </c>
      <c r="G7" s="2" t="s">
        <v>40</v>
      </c>
      <c r="H7" s="3">
        <v>98.306038282463007</v>
      </c>
      <c r="I7" s="6">
        <v>99.569309317254096</v>
      </c>
      <c r="J7" s="3">
        <v>107.57907955117599</v>
      </c>
      <c r="K7" s="6">
        <v>102.568246777651</v>
      </c>
      <c r="L7" s="3">
        <v>92.456797600604901</v>
      </c>
      <c r="M7" s="6">
        <v>93.401439043390596</v>
      </c>
      <c r="N7" s="3">
        <v>99.140276014347805</v>
      </c>
      <c r="O7" s="6">
        <v>99.587454682681795</v>
      </c>
      <c r="P7" s="3">
        <v>100.617233561258</v>
      </c>
      <c r="Q7" s="6">
        <v>98.666896145096004</v>
      </c>
      <c r="R7" s="3">
        <v>99.289158397142799</v>
      </c>
      <c r="S7" s="6">
        <v>99.892957089379806</v>
      </c>
      <c r="T7" s="3">
        <v>98.117373420263903</v>
      </c>
      <c r="U7" s="6">
        <v>98.862509735192504</v>
      </c>
      <c r="V7" s="3">
        <v>98.709695599415298</v>
      </c>
      <c r="W7" s="6">
        <v>98.066279718371803</v>
      </c>
      <c r="X7" s="3">
        <v>96.644860411005695</v>
      </c>
      <c r="AJ7" s="6"/>
      <c r="AS7" s="3"/>
      <c r="AV7" s="6"/>
      <c r="BB7" s="6"/>
      <c r="BE7" s="3"/>
      <c r="BG7" s="6"/>
      <c r="BH7" s="6"/>
      <c r="BI7" s="3"/>
      <c r="BJ7" s="3"/>
      <c r="BK7" s="6"/>
      <c r="BL7" s="6"/>
      <c r="BM7" s="3"/>
      <c r="BN7" s="3"/>
      <c r="BO7" s="6"/>
      <c r="BP7" s="6"/>
      <c r="BQ7" s="3"/>
      <c r="BR7" s="3"/>
    </row>
    <row r="8" spans="1:70" x14ac:dyDescent="0.35">
      <c r="A8" s="2"/>
      <c r="B8" s="2" t="b">
        <v>0</v>
      </c>
      <c r="C8" s="2" t="s">
        <v>25</v>
      </c>
      <c r="D8" s="4">
        <v>46175.618969907402</v>
      </c>
      <c r="E8" s="5" t="s">
        <v>75</v>
      </c>
      <c r="F8" s="6" t="s">
        <v>121</v>
      </c>
      <c r="G8" s="2" t="s">
        <v>99</v>
      </c>
      <c r="H8" s="3">
        <v>201.445079256799</v>
      </c>
      <c r="I8" s="6">
        <v>199.63623971062401</v>
      </c>
      <c r="J8" s="3">
        <v>197.93927674536499</v>
      </c>
      <c r="K8" s="6">
        <v>202.31726872985499</v>
      </c>
      <c r="L8" s="3">
        <v>186.67567076638699</v>
      </c>
      <c r="M8" s="6">
        <v>203.176518297309</v>
      </c>
      <c r="N8" s="3">
        <v>200.239301117922</v>
      </c>
      <c r="O8" s="6">
        <v>199.79565771378699</v>
      </c>
      <c r="P8" s="3">
        <v>201.85879910400499</v>
      </c>
      <c r="Q8" s="6">
        <v>199.09896169016099</v>
      </c>
      <c r="R8" s="3">
        <v>200.643569959883</v>
      </c>
      <c r="S8" s="6">
        <v>201.07180463405899</v>
      </c>
      <c r="T8" s="3">
        <v>198.59875960955301</v>
      </c>
      <c r="U8" s="6">
        <v>194.64172596111999</v>
      </c>
      <c r="V8" s="3">
        <v>193.512369558149</v>
      </c>
      <c r="W8" s="6">
        <v>191.81263805507299</v>
      </c>
      <c r="X8" s="3">
        <v>197.97525654485099</v>
      </c>
      <c r="AJ8" s="6"/>
      <c r="AS8" s="3"/>
      <c r="AV8" s="6"/>
      <c r="BB8" s="6"/>
      <c r="BE8" s="3"/>
      <c r="BG8" s="6"/>
      <c r="BH8" s="6"/>
      <c r="BI8" s="3"/>
      <c r="BJ8" s="3"/>
      <c r="BK8" s="6"/>
      <c r="BL8" s="6"/>
      <c r="BM8" s="3"/>
      <c r="BN8" s="3"/>
      <c r="BO8" s="6"/>
      <c r="BP8" s="6"/>
      <c r="BQ8" s="3"/>
      <c r="BR8" s="3"/>
    </row>
    <row r="9" spans="1:70" x14ac:dyDescent="0.35">
      <c r="A9" s="2"/>
      <c r="B9" s="2" t="b">
        <v>0</v>
      </c>
      <c r="C9" s="2" t="s">
        <v>56</v>
      </c>
      <c r="D9" s="4">
        <v>46175.622071759302</v>
      </c>
      <c r="E9" s="5" t="s">
        <v>75</v>
      </c>
      <c r="F9" s="6" t="s">
        <v>119</v>
      </c>
      <c r="G9" s="2" t="s">
        <v>65</v>
      </c>
      <c r="H9" s="3">
        <v>499.74830221649103</v>
      </c>
      <c r="I9" s="6">
        <v>500.23038189765902</v>
      </c>
      <c r="J9" s="3">
        <v>498.89844438679597</v>
      </c>
      <c r="K9" s="6">
        <v>498.37586571265899</v>
      </c>
      <c r="L9" s="3">
        <v>506.96783233656203</v>
      </c>
      <c r="M9" s="6">
        <v>499.51613465305201</v>
      </c>
      <c r="N9" s="3">
        <v>500.03995400307201</v>
      </c>
      <c r="O9" s="6">
        <v>500.07250076928699</v>
      </c>
      <c r="P9" s="3">
        <v>499.20355195142599</v>
      </c>
      <c r="Q9" s="6">
        <v>500.61138251480702</v>
      </c>
      <c r="R9" s="3">
        <v>499.85459248415901</v>
      </c>
      <c r="S9" s="6">
        <v>499.413228939455</v>
      </c>
      <c r="T9" s="3">
        <v>500.794070569138</v>
      </c>
      <c r="U9" s="6">
        <v>502.40891115827498</v>
      </c>
      <c r="V9" s="3">
        <v>503.01556564264598</v>
      </c>
      <c r="W9" s="6">
        <v>503.75595978144099</v>
      </c>
      <c r="X9" s="3">
        <v>501.60704421608699</v>
      </c>
      <c r="AJ9" s="6"/>
      <c r="AS9" s="3"/>
      <c r="AV9" s="6"/>
      <c r="BB9" s="6"/>
      <c r="BE9" s="3"/>
      <c r="BG9" s="6"/>
      <c r="BH9" s="6"/>
      <c r="BI9" s="3"/>
      <c r="BJ9" s="3"/>
      <c r="BK9" s="6"/>
      <c r="BL9" s="6"/>
      <c r="BM9" s="3"/>
      <c r="BN9" s="3"/>
      <c r="BO9" s="6"/>
      <c r="BP9" s="6"/>
      <c r="BQ9" s="3"/>
      <c r="BR9" s="3"/>
    </row>
    <row r="10" spans="1:70" x14ac:dyDescent="0.35">
      <c r="A10" s="2"/>
      <c r="B10" s="2" t="b">
        <v>0</v>
      </c>
      <c r="C10" s="2" t="s">
        <v>24</v>
      </c>
      <c r="D10" s="4">
        <v>46175.625208333302</v>
      </c>
      <c r="E10" s="5" t="s">
        <v>28</v>
      </c>
      <c r="F10" s="6" t="s">
        <v>110</v>
      </c>
      <c r="G10" s="2" t="s">
        <v>61</v>
      </c>
      <c r="H10" s="3">
        <v>1.9685545583687301</v>
      </c>
      <c r="I10" s="6" t="s">
        <v>32</v>
      </c>
      <c r="J10" s="3">
        <v>0.210797607288679</v>
      </c>
      <c r="K10" s="6" t="s">
        <v>32</v>
      </c>
      <c r="L10" s="3" t="s">
        <v>32</v>
      </c>
      <c r="M10" s="6" t="s">
        <v>32</v>
      </c>
      <c r="N10" s="3">
        <v>8.7358262720770199E-2</v>
      </c>
      <c r="O10" s="6" t="s">
        <v>32</v>
      </c>
      <c r="P10" s="3">
        <v>0.78719146303714804</v>
      </c>
      <c r="Q10" s="6">
        <v>1.7391929558379898E-2</v>
      </c>
      <c r="R10" s="3">
        <v>0.12081537458552701</v>
      </c>
      <c r="S10" s="6">
        <v>7.2978736450607401E-2</v>
      </c>
      <c r="T10" s="3" t="s">
        <v>32</v>
      </c>
      <c r="U10" s="6">
        <v>1.65528828022491E-4</v>
      </c>
      <c r="V10" s="3" t="s">
        <v>32</v>
      </c>
      <c r="W10" s="6" t="s">
        <v>32</v>
      </c>
      <c r="X10" s="3">
        <v>3.54886239849442E-2</v>
      </c>
      <c r="AJ10" s="6"/>
      <c r="AS10" s="3"/>
      <c r="AV10" s="6"/>
      <c r="BB10" s="6"/>
      <c r="BE10" s="3"/>
      <c r="BG10" s="6"/>
      <c r="BH10" s="6"/>
      <c r="BI10" s="3"/>
      <c r="BJ10" s="3"/>
      <c r="BK10" s="6"/>
      <c r="BL10" s="6"/>
      <c r="BM10" s="3"/>
      <c r="BN10" s="3"/>
      <c r="BO10" s="6"/>
      <c r="BP10" s="6"/>
      <c r="BQ10" s="3"/>
      <c r="BR10" s="3"/>
    </row>
    <row r="11" spans="1:70" x14ac:dyDescent="0.35">
      <c r="A11" s="2"/>
      <c r="B11" s="2" t="b">
        <v>0</v>
      </c>
      <c r="C11" s="2" t="s">
        <v>74</v>
      </c>
      <c r="D11" s="4">
        <v>46175.628206018497</v>
      </c>
      <c r="E11" s="5" t="s">
        <v>28</v>
      </c>
      <c r="F11" s="6" t="s">
        <v>110</v>
      </c>
      <c r="G11" s="2" t="s">
        <v>124</v>
      </c>
      <c r="H11" s="3">
        <v>444.004757212752</v>
      </c>
      <c r="I11" s="6">
        <v>109.087232989214</v>
      </c>
      <c r="J11" s="3">
        <v>882.96742215840902</v>
      </c>
      <c r="K11" s="6">
        <v>140.0727213863</v>
      </c>
      <c r="L11" s="3">
        <v>80.759174676727696</v>
      </c>
      <c r="M11" s="6">
        <v>116.10714095732401</v>
      </c>
      <c r="N11" s="3">
        <v>3.5906034639275402</v>
      </c>
      <c r="O11" s="6">
        <v>0.86877883755468599</v>
      </c>
      <c r="P11" s="3">
        <v>56.012155252344201</v>
      </c>
      <c r="Q11" s="6">
        <v>1.6584256058902E-3</v>
      </c>
      <c r="R11" s="3" t="s">
        <v>32</v>
      </c>
      <c r="S11" s="6">
        <v>33.236941746425998</v>
      </c>
      <c r="T11" s="3">
        <v>18.383565185046201</v>
      </c>
      <c r="U11" s="6">
        <v>0.20363340227221</v>
      </c>
      <c r="V11" s="3">
        <v>2.9157620681926E-2</v>
      </c>
      <c r="W11" s="6">
        <v>3.0619208183907398</v>
      </c>
      <c r="X11" s="3">
        <v>55.993973833474399</v>
      </c>
      <c r="Y11">
        <f>SUM(H11:X11)</f>
        <v>1944.3808379664504</v>
      </c>
      <c r="AJ11" s="6"/>
      <c r="AS11" s="3"/>
      <c r="AV11" s="6"/>
      <c r="BB11" s="6"/>
      <c r="BE11" s="3"/>
      <c r="BG11" s="6"/>
      <c r="BH11" s="6"/>
      <c r="BI11" s="3"/>
      <c r="BJ11" s="3"/>
      <c r="BK11" s="6"/>
      <c r="BL11" s="6"/>
      <c r="BM11" s="3"/>
      <c r="BN11" s="3"/>
      <c r="BO11" s="6"/>
      <c r="BP11" s="6"/>
      <c r="BQ11" s="3"/>
      <c r="BR11" s="3"/>
    </row>
    <row r="12" spans="1:70" x14ac:dyDescent="0.35">
      <c r="A12" s="2"/>
      <c r="B12" s="2" t="b">
        <v>0</v>
      </c>
      <c r="C12" s="2" t="s">
        <v>69</v>
      </c>
      <c r="D12" s="4">
        <v>46175.631261574097</v>
      </c>
      <c r="E12" s="5" t="s">
        <v>28</v>
      </c>
      <c r="F12" s="6" t="s">
        <v>110</v>
      </c>
      <c r="G12" s="2" t="s">
        <v>125</v>
      </c>
      <c r="H12" s="3">
        <v>393.869994417898</v>
      </c>
      <c r="I12" s="6">
        <v>85.273413416655103</v>
      </c>
      <c r="J12" s="3">
        <v>96.740688497506099</v>
      </c>
      <c r="K12" s="6">
        <v>194.24113820833301</v>
      </c>
      <c r="L12" s="3">
        <v>27.3971169903669</v>
      </c>
      <c r="M12" s="6">
        <v>54.060480538540403</v>
      </c>
      <c r="N12" s="3">
        <v>10.2978722151488</v>
      </c>
      <c r="O12" s="6">
        <v>1.67106120325038</v>
      </c>
      <c r="P12" s="3">
        <v>109.874384068826</v>
      </c>
      <c r="Q12" s="6">
        <v>0.33984911071810903</v>
      </c>
      <c r="R12" s="3">
        <v>12.4180539220919</v>
      </c>
      <c r="S12" s="6">
        <v>27.9308497348025</v>
      </c>
      <c r="T12" s="3">
        <v>11.679464703300701</v>
      </c>
      <c r="U12" s="6">
        <v>3.3466459384412499E-2</v>
      </c>
      <c r="V12" s="3">
        <v>1.65754998157581E-2</v>
      </c>
      <c r="W12" s="6">
        <v>2.99777497179634</v>
      </c>
      <c r="X12" s="3">
        <v>55.467745133869499</v>
      </c>
      <c r="AJ12" s="6"/>
      <c r="AS12" s="3"/>
      <c r="AV12" s="6"/>
      <c r="BB12" s="6"/>
      <c r="BE12" s="3"/>
      <c r="BG12" s="6"/>
      <c r="BH12" s="6"/>
      <c r="BI12" s="3"/>
      <c r="BJ12" s="3"/>
      <c r="BK12" s="6"/>
      <c r="BL12" s="6"/>
      <c r="BM12" s="3"/>
      <c r="BN12" s="3"/>
      <c r="BO12" s="6"/>
      <c r="BP12" s="6"/>
      <c r="BQ12" s="3"/>
      <c r="BR12" s="3"/>
    </row>
    <row r="13" spans="1:70" x14ac:dyDescent="0.35">
      <c r="A13" s="2"/>
      <c r="B13" s="2" t="b">
        <v>0</v>
      </c>
      <c r="C13" s="2" t="s">
        <v>72</v>
      </c>
      <c r="D13" s="4">
        <v>46175.634259259299</v>
      </c>
      <c r="E13" s="5" t="s">
        <v>28</v>
      </c>
      <c r="F13" s="6" t="s">
        <v>110</v>
      </c>
      <c r="G13" s="2" t="s">
        <v>126</v>
      </c>
      <c r="H13" s="3">
        <v>1054.78307651968</v>
      </c>
      <c r="I13" s="6">
        <v>124.37897035973199</v>
      </c>
      <c r="J13" s="3">
        <v>354.67126114382398</v>
      </c>
      <c r="K13" s="6">
        <v>159.337683752071</v>
      </c>
      <c r="L13" s="3">
        <v>100.53484923492501</v>
      </c>
      <c r="M13" s="6">
        <v>206.141990971166</v>
      </c>
      <c r="N13" s="3">
        <v>23.289871642115699</v>
      </c>
      <c r="O13" s="6">
        <v>4.4097559554731998</v>
      </c>
      <c r="P13" s="3">
        <v>266.11714412820299</v>
      </c>
      <c r="Q13" s="6">
        <v>0.24073541302762999</v>
      </c>
      <c r="R13" s="3">
        <v>19.2549415326664</v>
      </c>
      <c r="S13" s="6">
        <v>591.33467937520402</v>
      </c>
      <c r="T13" s="3">
        <v>17.8604993538499</v>
      </c>
      <c r="U13" s="6">
        <v>8.2665983485833996E-2</v>
      </c>
      <c r="V13" s="3">
        <v>5.0678994400178298E-2</v>
      </c>
      <c r="W13" s="6">
        <v>4.1670218039589102</v>
      </c>
      <c r="X13" s="3">
        <v>143.60266349369601</v>
      </c>
      <c r="AJ13" s="6"/>
      <c r="AS13" s="3"/>
      <c r="AV13" s="6"/>
      <c r="BB13" s="6"/>
      <c r="BE13" s="3"/>
      <c r="BG13" s="6"/>
      <c r="BH13" s="6"/>
      <c r="BI13" s="3"/>
      <c r="BJ13" s="3"/>
      <c r="BK13" s="6"/>
      <c r="BL13" s="6"/>
      <c r="BM13" s="3"/>
      <c r="BN13" s="3"/>
      <c r="BO13" s="6"/>
      <c r="BP13" s="6"/>
      <c r="BQ13" s="3"/>
      <c r="BR13" s="3"/>
    </row>
    <row r="14" spans="1:70" x14ac:dyDescent="0.35">
      <c r="A14" s="2"/>
      <c r="B14" s="2" t="b">
        <v>0</v>
      </c>
      <c r="C14" s="2" t="s">
        <v>96</v>
      </c>
      <c r="D14" s="4">
        <v>46175.637314814798</v>
      </c>
      <c r="E14" s="5" t="s">
        <v>28</v>
      </c>
      <c r="F14" s="6" t="s">
        <v>110</v>
      </c>
      <c r="G14" s="2" t="s">
        <v>136</v>
      </c>
      <c r="H14" s="3">
        <v>934.86629913701597</v>
      </c>
      <c r="I14" s="6">
        <v>131.370793368677</v>
      </c>
      <c r="J14" s="3">
        <v>210.91926845125201</v>
      </c>
      <c r="K14" s="6">
        <v>214.861276279458</v>
      </c>
      <c r="L14" s="3">
        <v>88.3656150279038</v>
      </c>
      <c r="M14" s="6">
        <v>178.82015347732499</v>
      </c>
      <c r="N14" s="3">
        <v>16.565727319864301</v>
      </c>
      <c r="O14" s="6">
        <v>2.2266494552915401</v>
      </c>
      <c r="P14" s="3">
        <v>180.40240467246699</v>
      </c>
      <c r="Q14" s="6">
        <v>0.27374062587953402</v>
      </c>
      <c r="R14" s="3">
        <v>10.7735325619728</v>
      </c>
      <c r="S14" s="6">
        <v>207.602117087419</v>
      </c>
      <c r="T14" s="3">
        <v>11.6648785118236</v>
      </c>
      <c r="U14" s="6">
        <v>4.8148810410426297E-2</v>
      </c>
      <c r="V14" s="3">
        <v>2.1621708823082401E-2</v>
      </c>
      <c r="W14" s="6">
        <v>6.1112837318315902</v>
      </c>
      <c r="X14" s="3">
        <v>120.402454497995</v>
      </c>
      <c r="AJ14" s="6"/>
      <c r="AS14" s="3"/>
      <c r="AV14" s="6"/>
      <c r="BB14" s="6"/>
      <c r="BE14" s="3"/>
      <c r="BG14" s="6"/>
      <c r="BH14" s="6"/>
      <c r="BI14" s="3"/>
      <c r="BJ14" s="3"/>
      <c r="BK14" s="6"/>
      <c r="BL14" s="6"/>
      <c r="BM14" s="3"/>
      <c r="BN14" s="3"/>
      <c r="BO14" s="6"/>
      <c r="BP14" s="6"/>
      <c r="BQ14" s="3"/>
      <c r="BR14" s="3"/>
    </row>
    <row r="15" spans="1:70" x14ac:dyDescent="0.35">
      <c r="A15" s="2"/>
      <c r="B15" s="2" t="b">
        <v>0</v>
      </c>
      <c r="C15" s="2" t="s">
        <v>85</v>
      </c>
      <c r="D15" s="4">
        <v>46175.6403125</v>
      </c>
      <c r="E15" s="5" t="s">
        <v>28</v>
      </c>
      <c r="F15" s="6" t="s">
        <v>110</v>
      </c>
      <c r="G15" s="2" t="s">
        <v>127</v>
      </c>
      <c r="H15" s="3">
        <v>1759.09506513828</v>
      </c>
      <c r="I15" s="6">
        <v>145.56527339141499</v>
      </c>
      <c r="J15" s="3">
        <v>386.50428695790202</v>
      </c>
      <c r="K15" s="6">
        <v>185.79081509665801</v>
      </c>
      <c r="L15" s="3">
        <v>67.6845350332094</v>
      </c>
      <c r="M15" s="6">
        <v>138.82069644760699</v>
      </c>
      <c r="N15" s="3">
        <v>6.7734284195008003</v>
      </c>
      <c r="O15" s="6">
        <v>3.02196469956057</v>
      </c>
      <c r="P15" s="3">
        <v>337.67181191416302</v>
      </c>
      <c r="Q15" s="6">
        <v>9.8821825881362305E-3</v>
      </c>
      <c r="R15" s="3">
        <v>0.215771425674601</v>
      </c>
      <c r="S15" s="6">
        <v>1556.41611017029</v>
      </c>
      <c r="T15" s="3">
        <v>17.424612849691201</v>
      </c>
      <c r="U15" s="6">
        <v>0.105376823291642</v>
      </c>
      <c r="V15" s="3">
        <v>1.18855392820585E-2</v>
      </c>
      <c r="W15" s="6">
        <v>5.3605174420765902</v>
      </c>
      <c r="X15" s="3">
        <v>381.56047068333601</v>
      </c>
      <c r="AJ15" s="6"/>
      <c r="AS15" s="3"/>
      <c r="AV15" s="6"/>
      <c r="BB15" s="6"/>
      <c r="BE15" s="3"/>
      <c r="BG15" s="6"/>
      <c r="BH15" s="6"/>
      <c r="BI15" s="3"/>
      <c r="BJ15" s="3"/>
      <c r="BK15" s="6"/>
      <c r="BL15" s="6"/>
      <c r="BM15" s="3"/>
      <c r="BN15" s="3"/>
      <c r="BO15" s="6"/>
      <c r="BP15" s="6"/>
      <c r="BQ15" s="3"/>
      <c r="BR15" s="3"/>
    </row>
    <row r="16" spans="1:70" x14ac:dyDescent="0.35">
      <c r="A16" s="2"/>
      <c r="B16" s="2" t="b">
        <v>0</v>
      </c>
      <c r="C16" s="2" t="s">
        <v>9</v>
      </c>
      <c r="D16" s="4">
        <v>46175.643379629597</v>
      </c>
      <c r="E16" s="5" t="s">
        <v>28</v>
      </c>
      <c r="F16" s="6" t="s">
        <v>110</v>
      </c>
      <c r="G16" s="2" t="s">
        <v>154</v>
      </c>
      <c r="H16" s="3">
        <v>764.73222246280898</v>
      </c>
      <c r="I16" s="6">
        <v>117.701502016859</v>
      </c>
      <c r="J16" s="3">
        <v>149.92392814968301</v>
      </c>
      <c r="K16" s="6">
        <v>184.97774577391399</v>
      </c>
      <c r="L16" s="3">
        <v>65.850107200006093</v>
      </c>
      <c r="M16" s="6">
        <v>137.32771001243799</v>
      </c>
      <c r="N16" s="3">
        <v>6.2580381930111804</v>
      </c>
      <c r="O16" s="6">
        <v>1.1680855325430199</v>
      </c>
      <c r="P16" s="3">
        <v>110.076587343112</v>
      </c>
      <c r="Q16" s="6" t="s">
        <v>32</v>
      </c>
      <c r="R16" s="3">
        <v>0.91373751374397405</v>
      </c>
      <c r="S16" s="6">
        <v>218.42575439919401</v>
      </c>
      <c r="T16" s="3">
        <v>11.4787238809451</v>
      </c>
      <c r="U16" s="6">
        <v>5.6657911670251797E-2</v>
      </c>
      <c r="V16" s="3">
        <v>1.40560716583815E-2</v>
      </c>
      <c r="W16" s="6">
        <v>3.8171219378708101</v>
      </c>
      <c r="X16" s="3">
        <v>108.101914491383</v>
      </c>
      <c r="AJ16" s="6"/>
      <c r="AS16" s="3"/>
      <c r="AV16" s="6"/>
      <c r="BB16" s="6"/>
      <c r="BE16" s="3"/>
      <c r="BG16" s="6"/>
      <c r="BH16" s="6"/>
      <c r="BI16" s="3"/>
      <c r="BJ16" s="3"/>
      <c r="BK16" s="6"/>
      <c r="BL16" s="6"/>
      <c r="BM16" s="3"/>
      <c r="BN16" s="3"/>
      <c r="BO16" s="6"/>
      <c r="BP16" s="6"/>
      <c r="BQ16" s="3"/>
      <c r="BR16" s="3"/>
    </row>
    <row r="17" spans="1:70" x14ac:dyDescent="0.35">
      <c r="A17" s="2"/>
      <c r="B17" s="2" t="b">
        <v>0</v>
      </c>
      <c r="C17" s="2" t="s">
        <v>48</v>
      </c>
      <c r="D17" s="4">
        <v>46175.646377314799</v>
      </c>
      <c r="E17" s="5" t="s">
        <v>28</v>
      </c>
      <c r="F17" s="6" t="s">
        <v>110</v>
      </c>
      <c r="G17" s="2" t="s">
        <v>129</v>
      </c>
      <c r="H17" s="3">
        <v>478.54912896977902</v>
      </c>
      <c r="I17" s="6">
        <v>112.54331468105001</v>
      </c>
      <c r="J17" s="3">
        <v>98.144336766881594</v>
      </c>
      <c r="K17" s="6">
        <v>195.035919118533</v>
      </c>
      <c r="L17" s="3">
        <v>42.8352195104763</v>
      </c>
      <c r="M17" s="6">
        <v>82.114342959754396</v>
      </c>
      <c r="N17" s="3">
        <v>12.650651609596901</v>
      </c>
      <c r="O17" s="6">
        <v>2.1625395414854101</v>
      </c>
      <c r="P17" s="3">
        <v>117.396193059334</v>
      </c>
      <c r="Q17" s="6">
        <v>0.123008085453378</v>
      </c>
      <c r="R17" s="3">
        <v>11.1295066442554</v>
      </c>
      <c r="S17" s="6">
        <v>32.684839177349197</v>
      </c>
      <c r="T17" s="3">
        <v>14.4404923379347</v>
      </c>
      <c r="U17" s="6">
        <v>4.7946678146324001E-2</v>
      </c>
      <c r="V17" s="3">
        <v>1.4509531743563101E-2</v>
      </c>
      <c r="W17" s="6">
        <v>3.19051654389754</v>
      </c>
      <c r="X17" s="3">
        <v>67.788847811648395</v>
      </c>
      <c r="AJ17" s="6"/>
      <c r="AS17" s="3"/>
      <c r="AV17" s="6"/>
      <c r="BB17" s="6"/>
      <c r="BE17" s="3"/>
      <c r="BG17" s="6"/>
      <c r="BH17" s="6"/>
      <c r="BI17" s="3"/>
      <c r="BJ17" s="3"/>
      <c r="BK17" s="6"/>
      <c r="BL17" s="6"/>
      <c r="BM17" s="3"/>
      <c r="BN17" s="3"/>
      <c r="BO17" s="6"/>
      <c r="BP17" s="6"/>
      <c r="BQ17" s="3"/>
      <c r="BR17" s="3"/>
    </row>
    <row r="18" spans="1:70" x14ac:dyDescent="0.35">
      <c r="A18" s="2"/>
      <c r="B18" s="2" t="b">
        <v>0</v>
      </c>
      <c r="C18" s="2" t="s">
        <v>64</v>
      </c>
      <c r="D18" s="4">
        <v>46175.649432870399</v>
      </c>
      <c r="E18" s="5" t="s">
        <v>28</v>
      </c>
      <c r="F18" s="6" t="s">
        <v>110</v>
      </c>
      <c r="G18" s="2" t="s">
        <v>130</v>
      </c>
      <c r="H18" s="3">
        <v>674.58555788344097</v>
      </c>
      <c r="I18" s="6">
        <v>57.387370774607497</v>
      </c>
      <c r="J18" s="3">
        <v>159.75307942666399</v>
      </c>
      <c r="K18" s="6">
        <v>212.412355580069</v>
      </c>
      <c r="L18" s="3">
        <v>30.219652790757699</v>
      </c>
      <c r="M18" s="6">
        <v>62.510599736342002</v>
      </c>
      <c r="N18" s="3">
        <v>6.3141889234401098</v>
      </c>
      <c r="O18" s="6">
        <v>1.7973615997418599</v>
      </c>
      <c r="P18" s="3">
        <v>199.68970162285399</v>
      </c>
      <c r="Q18" s="6">
        <v>9.7252236441516898E-2</v>
      </c>
      <c r="R18" s="3">
        <v>3.5099137876010502</v>
      </c>
      <c r="S18" s="6">
        <v>715.47448011339497</v>
      </c>
      <c r="T18" s="3">
        <v>16.236987102905001</v>
      </c>
      <c r="U18" s="6">
        <v>6.4437755716241898E-2</v>
      </c>
      <c r="V18" s="3">
        <v>2.0679350862147401E-2</v>
      </c>
      <c r="W18" s="6">
        <v>3.6432985845828298</v>
      </c>
      <c r="X18" s="3">
        <v>227.45943152608001</v>
      </c>
      <c r="AJ18" s="6"/>
      <c r="AS18" s="3"/>
      <c r="AV18" s="6"/>
      <c r="BB18" s="6"/>
      <c r="BE18" s="3"/>
      <c r="BG18" s="6"/>
      <c r="BH18" s="6"/>
      <c r="BI18" s="3"/>
      <c r="BJ18" s="3"/>
      <c r="BK18" s="6"/>
      <c r="BL18" s="6"/>
      <c r="BM18" s="3"/>
      <c r="BN18" s="3"/>
      <c r="BO18" s="6"/>
      <c r="BP18" s="6"/>
      <c r="BQ18" s="3"/>
      <c r="BR18" s="3"/>
    </row>
    <row r="19" spans="1:70" x14ac:dyDescent="0.35">
      <c r="A19" s="2"/>
      <c r="B19" s="2" t="b">
        <v>0</v>
      </c>
      <c r="C19" s="2" t="s">
        <v>94</v>
      </c>
      <c r="D19" s="4">
        <v>46175.652430555601</v>
      </c>
      <c r="E19" s="5" t="s">
        <v>28</v>
      </c>
      <c r="F19" s="6" t="s">
        <v>110</v>
      </c>
      <c r="G19" s="2" t="s">
        <v>131</v>
      </c>
      <c r="H19" s="3">
        <v>448.61975763472498</v>
      </c>
      <c r="I19" s="6">
        <v>101.173672668303</v>
      </c>
      <c r="J19" s="3">
        <v>93.189270153409694</v>
      </c>
      <c r="K19" s="6">
        <v>195.67780100818001</v>
      </c>
      <c r="L19" s="3">
        <v>48.131195188244597</v>
      </c>
      <c r="M19" s="6">
        <v>78.164536239433204</v>
      </c>
      <c r="N19" s="3">
        <v>4.4211138029661301</v>
      </c>
      <c r="O19" s="6">
        <v>0.70827355278266602</v>
      </c>
      <c r="P19" s="3">
        <v>67.546400054828396</v>
      </c>
      <c r="Q19" s="6">
        <v>3.3852826315463602E-2</v>
      </c>
      <c r="R19" s="3">
        <v>0.97309335903409699</v>
      </c>
      <c r="S19" s="6">
        <v>29.553223728031298</v>
      </c>
      <c r="T19" s="3">
        <v>13.224097273290299</v>
      </c>
      <c r="U19" s="6">
        <v>1.8143908595699899E-2</v>
      </c>
      <c r="V19" s="3">
        <v>1.6996960511987898E-2</v>
      </c>
      <c r="W19" s="6">
        <v>3.1630449043294302</v>
      </c>
      <c r="X19" s="3">
        <v>60.979785942745799</v>
      </c>
      <c r="AJ19" s="6"/>
      <c r="AS19" s="3"/>
      <c r="AV19" s="6"/>
      <c r="BB19" s="6"/>
      <c r="BE19" s="3"/>
      <c r="BG19" s="6"/>
      <c r="BH19" s="6"/>
      <c r="BI19" s="3"/>
      <c r="BJ19" s="3"/>
      <c r="BK19" s="6"/>
      <c r="BL19" s="6"/>
      <c r="BM19" s="3"/>
      <c r="BN19" s="3"/>
      <c r="BO19" s="6"/>
      <c r="BP19" s="6"/>
      <c r="BQ19" s="3"/>
      <c r="BR19" s="3"/>
    </row>
    <row r="20" spans="1:70" x14ac:dyDescent="0.35">
      <c r="A20" s="2"/>
      <c r="B20" s="2" t="b">
        <v>0</v>
      </c>
      <c r="C20" s="2" t="s">
        <v>44</v>
      </c>
      <c r="D20" s="4">
        <v>46175.6554861111</v>
      </c>
      <c r="E20" s="5" t="s">
        <v>28</v>
      </c>
      <c r="F20" s="6" t="s">
        <v>110</v>
      </c>
      <c r="G20" s="2" t="s">
        <v>155</v>
      </c>
      <c r="H20" s="3">
        <v>1976.12601757991</v>
      </c>
      <c r="I20" s="6">
        <v>168.05605621715699</v>
      </c>
      <c r="J20" s="3">
        <v>412.077735698504</v>
      </c>
      <c r="K20" s="6">
        <v>152.59591754188199</v>
      </c>
      <c r="L20" s="3">
        <v>90.099317938181798</v>
      </c>
      <c r="M20" s="6">
        <v>163.53461947545401</v>
      </c>
      <c r="N20" s="3">
        <v>17.3465728946891</v>
      </c>
      <c r="O20" s="6">
        <v>3.3384305787553599</v>
      </c>
      <c r="P20" s="3">
        <v>375.72601248180302</v>
      </c>
      <c r="Q20" s="6">
        <v>0.20479261874652399</v>
      </c>
      <c r="R20" s="3">
        <v>7.5830542939658603</v>
      </c>
      <c r="S20" s="6">
        <v>1279.51687978207</v>
      </c>
      <c r="T20" s="3">
        <v>19.285219344799501</v>
      </c>
      <c r="U20" s="6">
        <v>7.97668250528802E-2</v>
      </c>
      <c r="V20" s="3">
        <v>3.30476987767684E-2</v>
      </c>
      <c r="W20" s="6">
        <v>5.1984957240753902</v>
      </c>
      <c r="X20" s="3">
        <v>386.16829283512402</v>
      </c>
      <c r="AJ20" s="6"/>
      <c r="AS20" s="3"/>
      <c r="AV20" s="6"/>
      <c r="BB20" s="6"/>
      <c r="BE20" s="3"/>
      <c r="BG20" s="6"/>
      <c r="BH20" s="6"/>
      <c r="BI20" s="3"/>
      <c r="BJ20" s="3"/>
      <c r="BK20" s="6"/>
      <c r="BL20" s="6"/>
      <c r="BM20" s="3"/>
      <c r="BN20" s="3"/>
      <c r="BO20" s="6"/>
      <c r="BP20" s="6"/>
      <c r="BQ20" s="3"/>
      <c r="BR20" s="3"/>
    </row>
    <row r="21" spans="1:70" x14ac:dyDescent="0.35">
      <c r="A21" s="2"/>
      <c r="B21" s="2" t="b">
        <v>0</v>
      </c>
      <c r="C21" s="2" t="s">
        <v>20</v>
      </c>
      <c r="D21" s="4">
        <v>46175.6584953704</v>
      </c>
      <c r="E21" s="5" t="s">
        <v>28</v>
      </c>
      <c r="F21" s="6" t="s">
        <v>110</v>
      </c>
      <c r="G21" s="2" t="s">
        <v>133</v>
      </c>
      <c r="H21" s="3">
        <v>1774.3678274378101</v>
      </c>
      <c r="I21" s="6">
        <v>137.6503554352</v>
      </c>
      <c r="J21" s="3">
        <v>316.00260526548101</v>
      </c>
      <c r="K21" s="6">
        <v>45.189927996200197</v>
      </c>
      <c r="L21" s="3">
        <v>80.224751906264203</v>
      </c>
      <c r="M21" s="6">
        <v>147.58175915487999</v>
      </c>
      <c r="N21" s="3">
        <v>7.2692348412773802</v>
      </c>
      <c r="O21" s="6">
        <v>2.5673149822712702</v>
      </c>
      <c r="P21" s="3">
        <v>296.26336776244301</v>
      </c>
      <c r="Q21" s="6">
        <v>4.37632417993572E-2</v>
      </c>
      <c r="R21" s="3">
        <v>0.60311303020227902</v>
      </c>
      <c r="S21" s="6">
        <v>822.16169041871399</v>
      </c>
      <c r="T21" s="3">
        <v>17.483951179049601</v>
      </c>
      <c r="U21" s="6">
        <v>8.5404084184132201E-2</v>
      </c>
      <c r="V21" s="3">
        <v>6.5029510122390499E-3</v>
      </c>
      <c r="W21" s="6">
        <v>2.9421475628687799</v>
      </c>
      <c r="X21" s="3">
        <v>467.56777918212498</v>
      </c>
      <c r="AJ21" s="6"/>
      <c r="AS21" s="3"/>
      <c r="AV21" s="6"/>
      <c r="BB21" s="6"/>
      <c r="BE21" s="3"/>
      <c r="BG21" s="6"/>
      <c r="BH21" s="6"/>
      <c r="BI21" s="3"/>
      <c r="BJ21" s="3"/>
      <c r="BK21" s="6"/>
      <c r="BL21" s="6"/>
      <c r="BM21" s="3"/>
      <c r="BN21" s="3"/>
      <c r="BO21" s="6"/>
      <c r="BP21" s="6"/>
      <c r="BQ21" s="3"/>
      <c r="BR21" s="3"/>
    </row>
    <row r="22" spans="1:70" x14ac:dyDescent="0.35">
      <c r="A22" s="2"/>
      <c r="B22" s="2" t="b">
        <v>0</v>
      </c>
      <c r="C22" s="2" t="s">
        <v>73</v>
      </c>
      <c r="D22" s="4">
        <v>46175.661550925899</v>
      </c>
      <c r="E22" s="5" t="s">
        <v>28</v>
      </c>
      <c r="F22" s="6" t="s">
        <v>110</v>
      </c>
      <c r="G22" s="2" t="s">
        <v>153</v>
      </c>
      <c r="H22" s="3">
        <v>773.324953430714</v>
      </c>
      <c r="I22" s="6">
        <v>98.184205110276693</v>
      </c>
      <c r="J22" s="3">
        <v>134.89678763049599</v>
      </c>
      <c r="K22" s="6">
        <v>28.231224035603599</v>
      </c>
      <c r="L22" s="3">
        <v>77.519973674051101</v>
      </c>
      <c r="M22" s="6">
        <v>123.501876414096</v>
      </c>
      <c r="N22" s="3">
        <v>17.252483226846401</v>
      </c>
      <c r="O22" s="6">
        <v>1.5511973096674401</v>
      </c>
      <c r="P22" s="3">
        <v>133.92188847207299</v>
      </c>
      <c r="Q22" s="6">
        <v>0.14443229831007801</v>
      </c>
      <c r="R22" s="3">
        <v>5.2282406390625598</v>
      </c>
      <c r="S22" s="6">
        <v>79.531844909864901</v>
      </c>
      <c r="T22" s="3">
        <v>8.4680173696145307</v>
      </c>
      <c r="U22" s="6">
        <v>3.8966581124102999E-2</v>
      </c>
      <c r="V22" s="3">
        <v>1.3529703666513401E-2</v>
      </c>
      <c r="W22" s="6">
        <v>4.0182306737512299</v>
      </c>
      <c r="X22" s="3">
        <v>87.868843766584902</v>
      </c>
      <c r="AJ22" s="6"/>
      <c r="AS22" s="3"/>
      <c r="AV22" s="6"/>
      <c r="BB22" s="6"/>
      <c r="BE22" s="3"/>
      <c r="BG22" s="6"/>
      <c r="BH22" s="6"/>
      <c r="BI22" s="3"/>
      <c r="BJ22" s="3"/>
      <c r="BK22" s="6"/>
      <c r="BL22" s="6"/>
      <c r="BM22" s="3"/>
      <c r="BN22" s="3"/>
      <c r="BO22" s="6"/>
      <c r="BP22" s="6"/>
      <c r="BQ22" s="3"/>
      <c r="BR22" s="3"/>
    </row>
    <row r="23" spans="1:70" x14ac:dyDescent="0.35">
      <c r="A23" s="2"/>
      <c r="B23" s="2" t="b">
        <v>0</v>
      </c>
      <c r="C23" s="2" t="s">
        <v>7</v>
      </c>
      <c r="D23" s="4">
        <v>46175.664548611101</v>
      </c>
      <c r="E23" s="5" t="s">
        <v>28</v>
      </c>
      <c r="F23" s="6" t="s">
        <v>110</v>
      </c>
      <c r="G23" s="2" t="s">
        <v>11</v>
      </c>
      <c r="H23" s="3">
        <v>47.964919403489503</v>
      </c>
      <c r="I23" s="6">
        <v>19.8883156398789</v>
      </c>
      <c r="J23" s="3">
        <v>61.227925213091901</v>
      </c>
      <c r="K23" s="6">
        <v>4.7243310596443404</v>
      </c>
      <c r="L23" s="3">
        <v>4.7889658120612797</v>
      </c>
      <c r="M23" s="6">
        <v>16.336134464302599</v>
      </c>
      <c r="N23" s="3">
        <v>10.305683634476299</v>
      </c>
      <c r="O23" s="6">
        <v>0.77628934647067005</v>
      </c>
      <c r="P23" s="3">
        <v>62.7002220890949</v>
      </c>
      <c r="Q23" s="6" t="s">
        <v>32</v>
      </c>
      <c r="R23" s="3">
        <v>8.2212295102596595</v>
      </c>
      <c r="S23" s="6">
        <v>77.439895089817298</v>
      </c>
      <c r="T23" s="3">
        <v>4.4422949781409802</v>
      </c>
      <c r="U23" s="6">
        <v>2.1525224481625201E-2</v>
      </c>
      <c r="V23" s="3" t="s">
        <v>32</v>
      </c>
      <c r="W23" s="6">
        <v>0.112353245084714</v>
      </c>
      <c r="X23" s="3">
        <v>0.21514016606199601</v>
      </c>
      <c r="AJ23" s="6"/>
      <c r="AS23" s="3"/>
      <c r="AV23" s="6"/>
      <c r="BB23" s="6"/>
      <c r="BE23" s="3"/>
      <c r="BG23" s="6"/>
      <c r="BH23" s="6"/>
      <c r="BI23" s="3"/>
      <c r="BJ23" s="3"/>
      <c r="BK23" s="6"/>
      <c r="BL23" s="6"/>
      <c r="BM23" s="3"/>
      <c r="BN23" s="3"/>
      <c r="BO23" s="6"/>
      <c r="BP23" s="6"/>
      <c r="BQ23" s="3"/>
      <c r="BR23" s="3"/>
    </row>
    <row r="24" spans="1:70" x14ac:dyDescent="0.35">
      <c r="A24" s="2"/>
      <c r="B24" s="2" t="b">
        <v>0</v>
      </c>
      <c r="C24" s="2" t="s">
        <v>97</v>
      </c>
      <c r="D24" s="4">
        <v>46175.667604166701</v>
      </c>
      <c r="E24" s="5" t="s">
        <v>28</v>
      </c>
      <c r="F24" s="6" t="s">
        <v>110</v>
      </c>
      <c r="G24" s="2" t="s">
        <v>108</v>
      </c>
      <c r="H24" s="3">
        <v>39.700889384424599</v>
      </c>
      <c r="I24" s="6">
        <v>18.442496587898098</v>
      </c>
      <c r="J24" s="3">
        <v>63.182812727603803</v>
      </c>
      <c r="K24" s="6">
        <v>4.02500551239239</v>
      </c>
      <c r="L24" s="3">
        <v>4.1177242653375004</v>
      </c>
      <c r="M24" s="6">
        <v>14.3510241732968</v>
      </c>
      <c r="N24" s="3">
        <v>10.078583091612201</v>
      </c>
      <c r="O24" s="6">
        <v>0.785043746109374</v>
      </c>
      <c r="P24" s="3">
        <v>65.191620559112394</v>
      </c>
      <c r="Q24" s="6" t="s">
        <v>32</v>
      </c>
      <c r="R24" s="3">
        <v>8.0628420260485107</v>
      </c>
      <c r="S24" s="6">
        <v>79.120281832951306</v>
      </c>
      <c r="T24" s="3">
        <v>3.7675340446542802</v>
      </c>
      <c r="U24" s="6">
        <v>5.6826228184717401E-3</v>
      </c>
      <c r="V24" s="3" t="s">
        <v>32</v>
      </c>
      <c r="W24" s="6">
        <v>0.12668189839369001</v>
      </c>
      <c r="X24" s="3">
        <v>3.14596081118024</v>
      </c>
      <c r="AJ24" s="6"/>
      <c r="AS24" s="3"/>
      <c r="AV24" s="6"/>
      <c r="BB24" s="6"/>
      <c r="BE24" s="3"/>
      <c r="BG24" s="6"/>
      <c r="BH24" s="6"/>
      <c r="BI24" s="3"/>
      <c r="BJ24" s="3"/>
      <c r="BK24" s="6"/>
      <c r="BL24" s="6"/>
      <c r="BM24" s="3"/>
      <c r="BN24" s="3"/>
      <c r="BO24" s="6"/>
      <c r="BP24" s="6"/>
      <c r="BQ24" s="3"/>
      <c r="BR24" s="3"/>
    </row>
    <row r="25" spans="1:70" x14ac:dyDescent="0.35">
      <c r="A25" s="2"/>
      <c r="B25" s="2" t="b">
        <v>0</v>
      </c>
      <c r="C25" s="2" t="s">
        <v>81</v>
      </c>
      <c r="D25" s="4">
        <v>46175.670601851903</v>
      </c>
      <c r="E25" s="5" t="s">
        <v>28</v>
      </c>
      <c r="F25" s="6" t="s">
        <v>110</v>
      </c>
      <c r="G25" s="2" t="s">
        <v>10</v>
      </c>
      <c r="H25" s="3">
        <v>71.677118802867199</v>
      </c>
      <c r="I25" s="6">
        <v>23.067737870123299</v>
      </c>
      <c r="J25" s="3">
        <v>54.2545009953499</v>
      </c>
      <c r="K25" s="6">
        <v>10.5793172031251</v>
      </c>
      <c r="L25" s="3">
        <v>19.815401517784299</v>
      </c>
      <c r="M25" s="6">
        <v>42.679410584762699</v>
      </c>
      <c r="N25" s="3">
        <v>9.8786908361578192</v>
      </c>
      <c r="O25" s="6">
        <v>0.80310789676655603</v>
      </c>
      <c r="P25" s="3">
        <v>63.1403729860425</v>
      </c>
      <c r="Q25" s="6" t="s">
        <v>32</v>
      </c>
      <c r="R25" s="3">
        <v>8.2327659683134797</v>
      </c>
      <c r="S25" s="6">
        <v>91.315951986325103</v>
      </c>
      <c r="T25" s="3">
        <v>5.6154381681616004</v>
      </c>
      <c r="U25" s="6">
        <v>1.9292969328857799E-2</v>
      </c>
      <c r="V25" s="3" t="s">
        <v>32</v>
      </c>
      <c r="W25" s="6">
        <v>8.1353943149850394E-2</v>
      </c>
      <c r="X25" s="3">
        <v>3.66740418622495</v>
      </c>
      <c r="AJ25" s="6"/>
      <c r="AS25" s="3"/>
      <c r="AV25" s="6"/>
      <c r="BB25" s="6"/>
      <c r="BE25" s="3"/>
      <c r="BG25" s="6"/>
      <c r="BH25" s="6"/>
      <c r="BI25" s="3"/>
      <c r="BJ25" s="3"/>
      <c r="BK25" s="6"/>
      <c r="BL25" s="6"/>
      <c r="BM25" s="3"/>
      <c r="BN25" s="3"/>
      <c r="BO25" s="6"/>
      <c r="BP25" s="6"/>
      <c r="BQ25" s="3"/>
      <c r="BR25" s="3"/>
    </row>
    <row r="26" spans="1:70" x14ac:dyDescent="0.35">
      <c r="A26" s="2"/>
      <c r="B26" s="2" t="b">
        <v>0</v>
      </c>
      <c r="C26" s="2" t="s">
        <v>51</v>
      </c>
      <c r="D26" s="4">
        <v>46175.673668981501</v>
      </c>
      <c r="E26" s="5" t="s">
        <v>28</v>
      </c>
      <c r="F26" s="6" t="s">
        <v>110</v>
      </c>
      <c r="G26" s="2" t="s">
        <v>12</v>
      </c>
      <c r="H26" s="3">
        <v>70.572372926380893</v>
      </c>
      <c r="I26" s="6">
        <v>21.415412342783299</v>
      </c>
      <c r="J26" s="3">
        <v>49.512065893980001</v>
      </c>
      <c r="K26" s="6">
        <v>11.5374932841499</v>
      </c>
      <c r="L26" s="3">
        <v>9.1438328023274593</v>
      </c>
      <c r="M26" s="6">
        <v>23.8639980299331</v>
      </c>
      <c r="N26" s="3">
        <v>10.080770959531099</v>
      </c>
      <c r="O26" s="6">
        <v>0.86364284248859802</v>
      </c>
      <c r="P26" s="3">
        <v>65.870642612633702</v>
      </c>
      <c r="Q26" s="6" t="s">
        <v>32</v>
      </c>
      <c r="R26" s="3">
        <v>8.4645174820286506</v>
      </c>
      <c r="S26" s="6">
        <v>62.543620093647696</v>
      </c>
      <c r="T26" s="3">
        <v>6.2786597212977497</v>
      </c>
      <c r="U26" s="6">
        <v>1.86402945139163E-2</v>
      </c>
      <c r="V26" s="3" t="s">
        <v>32</v>
      </c>
      <c r="W26" s="6">
        <v>0.15900142123732999</v>
      </c>
      <c r="X26" s="3">
        <v>0.61639131302564498</v>
      </c>
      <c r="AJ26" s="6"/>
      <c r="AS26" s="3"/>
      <c r="AV26" s="6"/>
      <c r="BB26" s="6"/>
      <c r="BE26" s="3"/>
      <c r="BG26" s="6"/>
      <c r="BH26" s="6"/>
      <c r="BI26" s="3"/>
      <c r="BJ26" s="3"/>
      <c r="BK26" s="6"/>
      <c r="BL26" s="6"/>
      <c r="BM26" s="3"/>
      <c r="BN26" s="3"/>
      <c r="BO26" s="6"/>
      <c r="BP26" s="6"/>
      <c r="BQ26" s="3"/>
      <c r="BR26" s="3"/>
    </row>
    <row r="27" spans="1:70" x14ac:dyDescent="0.35">
      <c r="A27" s="2"/>
      <c r="B27" s="2" t="b">
        <v>0</v>
      </c>
      <c r="C27" s="2" t="s">
        <v>3</v>
      </c>
      <c r="D27" s="4">
        <v>46175.676666666703</v>
      </c>
      <c r="E27" s="5" t="s">
        <v>28</v>
      </c>
      <c r="F27" s="6" t="s">
        <v>110</v>
      </c>
      <c r="G27" s="2" t="s">
        <v>4</v>
      </c>
      <c r="H27" s="3">
        <v>72.5695422933495</v>
      </c>
      <c r="I27" s="6">
        <v>23.5611778413449</v>
      </c>
      <c r="J27" s="3">
        <v>63.807409024648599</v>
      </c>
      <c r="K27" s="6">
        <v>10.4660657348679</v>
      </c>
      <c r="L27" s="3">
        <v>25.773471609034601</v>
      </c>
      <c r="M27" s="6">
        <v>33.689833619677401</v>
      </c>
      <c r="N27" s="3">
        <v>10.590342004393399</v>
      </c>
      <c r="O27" s="6">
        <v>0.84556924243456899</v>
      </c>
      <c r="P27" s="3">
        <v>55.138168898142197</v>
      </c>
      <c r="Q27" s="6" t="s">
        <v>32</v>
      </c>
      <c r="R27" s="3">
        <v>8.5223898338091004</v>
      </c>
      <c r="S27" s="6">
        <v>69.288153675995105</v>
      </c>
      <c r="T27" s="3">
        <v>5.07774416507635</v>
      </c>
      <c r="U27" s="6">
        <v>3.2475383884614198E-2</v>
      </c>
      <c r="V27" s="3" t="s">
        <v>32</v>
      </c>
      <c r="W27" s="6">
        <v>9.1921173333620806E-2</v>
      </c>
      <c r="X27" s="3">
        <v>0.89876199817507396</v>
      </c>
      <c r="AJ27" s="6"/>
      <c r="AS27" s="3"/>
      <c r="AV27" s="6"/>
      <c r="BB27" s="6"/>
      <c r="BE27" s="3"/>
      <c r="BG27" s="6"/>
      <c r="BH27" s="6"/>
      <c r="BI27" s="3"/>
      <c r="BJ27" s="3"/>
      <c r="BK27" s="6"/>
      <c r="BL27" s="6"/>
      <c r="BM27" s="3"/>
      <c r="BN27" s="3"/>
      <c r="BO27" s="6"/>
      <c r="BP27" s="6"/>
      <c r="BQ27" s="3"/>
      <c r="BR27" s="3"/>
    </row>
    <row r="28" spans="1:70" x14ac:dyDescent="0.35">
      <c r="A28" s="2"/>
      <c r="B28" s="2" t="b">
        <v>0</v>
      </c>
      <c r="C28" s="2" t="s">
        <v>66</v>
      </c>
      <c r="D28" s="4">
        <v>46175.679722222201</v>
      </c>
      <c r="E28" s="5" t="s">
        <v>28</v>
      </c>
      <c r="F28" s="6" t="s">
        <v>110</v>
      </c>
      <c r="G28" s="2" t="s">
        <v>100</v>
      </c>
      <c r="H28" s="3">
        <v>55.311349903237399</v>
      </c>
      <c r="I28" s="6">
        <v>19.925328058934699</v>
      </c>
      <c r="J28" s="3">
        <v>52.189262578083401</v>
      </c>
      <c r="K28" s="6">
        <v>16.711147084797499</v>
      </c>
      <c r="L28" s="3">
        <v>8.4765814037056106</v>
      </c>
      <c r="M28" s="6">
        <v>23.990238180818501</v>
      </c>
      <c r="N28" s="3">
        <v>10.610062359020301</v>
      </c>
      <c r="O28" s="6">
        <v>0.72584288037834999</v>
      </c>
      <c r="P28" s="3">
        <v>58.463390597806502</v>
      </c>
      <c r="Q28" s="6" t="s">
        <v>32</v>
      </c>
      <c r="R28" s="3">
        <v>8.7697466078726301</v>
      </c>
      <c r="S28" s="6">
        <v>46.733759697428802</v>
      </c>
      <c r="T28" s="3">
        <v>5.3352435546463699</v>
      </c>
      <c r="U28" s="6">
        <v>1.61382204994629E-2</v>
      </c>
      <c r="V28" s="3" t="s">
        <v>32</v>
      </c>
      <c r="W28" s="6">
        <v>0.123227102309174</v>
      </c>
      <c r="X28" s="3">
        <v>0.72276252480591496</v>
      </c>
      <c r="AJ28" s="6"/>
      <c r="AS28" s="3"/>
      <c r="AV28" s="6"/>
      <c r="BB28" s="6"/>
      <c r="BE28" s="3"/>
      <c r="BG28" s="6"/>
      <c r="BH28" s="6"/>
      <c r="BI28" s="3"/>
      <c r="BJ28" s="3"/>
      <c r="BK28" s="6"/>
      <c r="BL28" s="6"/>
      <c r="BM28" s="3"/>
      <c r="BN28" s="3"/>
      <c r="BO28" s="6"/>
      <c r="BP28" s="6"/>
      <c r="BQ28" s="3"/>
      <c r="BR28" s="3"/>
    </row>
    <row r="29" spans="1:70" x14ac:dyDescent="0.35">
      <c r="A29" s="2"/>
      <c r="B29" s="2" t="b">
        <v>0</v>
      </c>
      <c r="C29" s="2" t="s">
        <v>31</v>
      </c>
      <c r="D29" s="4">
        <v>46175.682719907403</v>
      </c>
      <c r="E29" s="5" t="s">
        <v>28</v>
      </c>
      <c r="F29" s="6" t="s">
        <v>110</v>
      </c>
      <c r="G29" s="2" t="s">
        <v>16</v>
      </c>
      <c r="H29" s="3">
        <v>46.589501274952902</v>
      </c>
      <c r="I29" s="6">
        <v>18.661662973584701</v>
      </c>
      <c r="J29" s="3">
        <v>33.742086164256399</v>
      </c>
      <c r="K29" s="6">
        <v>6.5144366328569596</v>
      </c>
      <c r="L29" s="3">
        <v>16.715118475144902</v>
      </c>
      <c r="M29" s="6">
        <v>28.997453128923301</v>
      </c>
      <c r="N29" s="3">
        <v>9.2176805008382505</v>
      </c>
      <c r="O29" s="6">
        <v>0.67965171399327096</v>
      </c>
      <c r="P29" s="3">
        <v>61.470290968413003</v>
      </c>
      <c r="Q29" s="6" t="s">
        <v>32</v>
      </c>
      <c r="R29" s="3">
        <v>7.2656192719717998</v>
      </c>
      <c r="S29" s="6">
        <v>124.771842997498</v>
      </c>
      <c r="T29" s="3">
        <v>4.95886240557512</v>
      </c>
      <c r="U29" s="6">
        <v>8.0063388921143997E-3</v>
      </c>
      <c r="V29" s="3" t="s">
        <v>32</v>
      </c>
      <c r="W29" s="6">
        <v>0.14200265014960201</v>
      </c>
      <c r="X29" s="3">
        <v>0.83457078783521099</v>
      </c>
      <c r="AJ29" s="6"/>
      <c r="AS29" s="3"/>
      <c r="AV29" s="6"/>
      <c r="BB29" s="6"/>
      <c r="BE29" s="3"/>
      <c r="BG29" s="6"/>
      <c r="BH29" s="6"/>
      <c r="BI29" s="3"/>
      <c r="BJ29" s="3"/>
      <c r="BK29" s="6"/>
      <c r="BL29" s="6"/>
      <c r="BM29" s="3"/>
      <c r="BN29" s="3"/>
      <c r="BO29" s="6"/>
      <c r="BP29" s="6"/>
      <c r="BQ29" s="3"/>
      <c r="BR29" s="3"/>
    </row>
    <row r="30" spans="1:70" x14ac:dyDescent="0.35">
      <c r="A30" s="2"/>
      <c r="B30" s="2" t="b">
        <v>0</v>
      </c>
      <c r="C30" s="2" t="s">
        <v>117</v>
      </c>
      <c r="D30" s="4">
        <v>46175.685775462996</v>
      </c>
      <c r="E30" s="5" t="s">
        <v>28</v>
      </c>
      <c r="F30" s="6" t="s">
        <v>110</v>
      </c>
      <c r="G30" s="2" t="s">
        <v>70</v>
      </c>
      <c r="H30" s="3">
        <v>37.314321776407198</v>
      </c>
      <c r="I30" s="6">
        <v>20.125766048299401</v>
      </c>
      <c r="J30" s="3">
        <v>41.937179343885198</v>
      </c>
      <c r="K30" s="6">
        <v>3.8099574214087801</v>
      </c>
      <c r="L30" s="3">
        <v>5.9348058754640096</v>
      </c>
      <c r="M30" s="6">
        <v>13.906147046165501</v>
      </c>
      <c r="N30" s="3">
        <v>11.3099629834739</v>
      </c>
      <c r="O30" s="6">
        <v>0.78620809922333401</v>
      </c>
      <c r="P30" s="3">
        <v>68.402260477083502</v>
      </c>
      <c r="Q30" s="6" t="s">
        <v>32</v>
      </c>
      <c r="R30" s="3">
        <v>9.1990696962722804</v>
      </c>
      <c r="S30" s="6">
        <v>148.73959938907299</v>
      </c>
      <c r="T30" s="3">
        <v>5.1762954500374203</v>
      </c>
      <c r="U30" s="6">
        <v>2.7156248068611302E-2</v>
      </c>
      <c r="V30" s="3" t="s">
        <v>32</v>
      </c>
      <c r="W30" s="6">
        <v>0.111264356346612</v>
      </c>
      <c r="X30" s="3">
        <v>1.97389664849691</v>
      </c>
      <c r="AJ30" s="6"/>
      <c r="AS30" s="3"/>
      <c r="AV30" s="6"/>
      <c r="BB30" s="6"/>
      <c r="BE30" s="3"/>
      <c r="BG30" s="6"/>
      <c r="BH30" s="6"/>
      <c r="BI30" s="3"/>
      <c r="BJ30" s="3"/>
      <c r="BK30" s="6"/>
      <c r="BL30" s="6"/>
      <c r="BM30" s="3"/>
      <c r="BN30" s="3"/>
      <c r="BO30" s="6"/>
      <c r="BP30" s="6"/>
      <c r="BQ30" s="3"/>
      <c r="BR30" s="3"/>
    </row>
    <row r="31" spans="1:70" x14ac:dyDescent="0.35">
      <c r="A31" s="2"/>
      <c r="B31" s="2" t="b">
        <v>0</v>
      </c>
      <c r="C31" s="2" t="s">
        <v>120</v>
      </c>
      <c r="D31" s="4">
        <v>46175.688773148097</v>
      </c>
      <c r="E31" s="5" t="s">
        <v>28</v>
      </c>
      <c r="F31" s="6" t="s">
        <v>110</v>
      </c>
      <c r="G31" s="2" t="s">
        <v>118</v>
      </c>
      <c r="H31" s="3">
        <v>37.623413471819802</v>
      </c>
      <c r="I31" s="6">
        <v>18.609878969708699</v>
      </c>
      <c r="J31" s="3">
        <v>43.957227935975801</v>
      </c>
      <c r="K31" s="6">
        <v>4.5674190819456104</v>
      </c>
      <c r="L31" s="3">
        <v>9.61263536401575</v>
      </c>
      <c r="M31" s="6">
        <v>18.915414855803999</v>
      </c>
      <c r="N31" s="3">
        <v>10.3105878668934</v>
      </c>
      <c r="O31" s="6">
        <v>0.73317605853354395</v>
      </c>
      <c r="P31" s="3">
        <v>59.186151519373603</v>
      </c>
      <c r="Q31" s="6">
        <v>1.9641325870882399E-2</v>
      </c>
      <c r="R31" s="3">
        <v>8.33530052946133</v>
      </c>
      <c r="S31" s="6">
        <v>155.404080822482</v>
      </c>
      <c r="T31" s="3">
        <v>8.6976471312925998</v>
      </c>
      <c r="U31" s="6">
        <v>1.07411374902226E-2</v>
      </c>
      <c r="V31" s="3" t="s">
        <v>32</v>
      </c>
      <c r="W31" s="6">
        <v>0.13112487820971999</v>
      </c>
      <c r="X31" s="3">
        <v>6.6036545190159996</v>
      </c>
      <c r="AJ31" s="6"/>
      <c r="AS31" s="3"/>
      <c r="AV31" s="6"/>
      <c r="BB31" s="6"/>
      <c r="BE31" s="3"/>
      <c r="BG31" s="6"/>
      <c r="BH31" s="6"/>
      <c r="BI31" s="3"/>
      <c r="BJ31" s="3"/>
      <c r="BK31" s="6"/>
      <c r="BL31" s="6"/>
      <c r="BM31" s="3"/>
      <c r="BN31" s="3"/>
      <c r="BO31" s="6"/>
      <c r="BP31" s="6"/>
      <c r="BQ31" s="3"/>
      <c r="BR31" s="3"/>
    </row>
    <row r="32" spans="1:70" x14ac:dyDescent="0.35">
      <c r="A32" s="2"/>
      <c r="B32" s="2" t="b">
        <v>0</v>
      </c>
      <c r="C32" s="2" t="s">
        <v>107</v>
      </c>
      <c r="D32" s="4">
        <v>46175.691840277803</v>
      </c>
      <c r="E32" s="5" t="s">
        <v>28</v>
      </c>
      <c r="F32" s="6" t="s">
        <v>110</v>
      </c>
      <c r="G32" s="2" t="s">
        <v>46</v>
      </c>
      <c r="H32" s="3" t="s">
        <v>32</v>
      </c>
      <c r="I32" s="6" t="s">
        <v>32</v>
      </c>
      <c r="J32" s="3" t="s">
        <v>32</v>
      </c>
      <c r="K32" s="6" t="s">
        <v>32</v>
      </c>
      <c r="L32" s="3" t="s">
        <v>32</v>
      </c>
      <c r="M32" s="6" t="s">
        <v>32</v>
      </c>
      <c r="N32" s="3">
        <v>0.1962814291501</v>
      </c>
      <c r="O32" s="6" t="s">
        <v>32</v>
      </c>
      <c r="P32" s="3">
        <v>0.82707267752872904</v>
      </c>
      <c r="Q32" s="6">
        <v>3.0933770695450301E-2</v>
      </c>
      <c r="R32" s="3">
        <v>8.3273643947472997E-2</v>
      </c>
      <c r="S32" s="6">
        <v>7.1369393146273996E-2</v>
      </c>
      <c r="T32" s="3" t="s">
        <v>32</v>
      </c>
      <c r="U32" s="6" t="s">
        <v>32</v>
      </c>
      <c r="V32" s="3" t="s">
        <v>32</v>
      </c>
      <c r="W32" s="6" t="s">
        <v>32</v>
      </c>
      <c r="X32" s="3">
        <v>1.3128739306393199E-2</v>
      </c>
      <c r="AJ32" s="6"/>
      <c r="AS32" s="3"/>
      <c r="AV32" s="6"/>
      <c r="BB32" s="6"/>
      <c r="BE32" s="3"/>
      <c r="BG32" s="6"/>
      <c r="BH32" s="6"/>
      <c r="BI32" s="3"/>
      <c r="BJ32" s="3"/>
      <c r="BK32" s="6"/>
      <c r="BL32" s="6"/>
      <c r="BM32" s="3"/>
      <c r="BN32" s="3"/>
      <c r="BO32" s="6"/>
      <c r="BP32" s="6"/>
      <c r="BQ32" s="3"/>
      <c r="BR32" s="3"/>
    </row>
    <row r="33" spans="1:70" x14ac:dyDescent="0.35">
      <c r="A33" s="2"/>
      <c r="B33" s="2" t="b">
        <v>0</v>
      </c>
      <c r="C33" s="2" t="s">
        <v>86</v>
      </c>
      <c r="D33" s="4">
        <v>46175.694837962998</v>
      </c>
      <c r="E33" s="5" t="s">
        <v>28</v>
      </c>
      <c r="F33" s="6" t="s">
        <v>110</v>
      </c>
      <c r="G33" s="2" t="s">
        <v>43</v>
      </c>
      <c r="H33" s="3" t="s">
        <v>32</v>
      </c>
      <c r="I33" s="6" t="s">
        <v>32</v>
      </c>
      <c r="J33" s="3" t="s">
        <v>32</v>
      </c>
      <c r="K33" s="6" t="s">
        <v>32</v>
      </c>
      <c r="L33" s="3" t="s">
        <v>32</v>
      </c>
      <c r="M33" s="6" t="s">
        <v>32</v>
      </c>
      <c r="N33" s="3">
        <v>0.144575638691536</v>
      </c>
      <c r="O33" s="6" t="s">
        <v>32</v>
      </c>
      <c r="P33" s="3">
        <v>0.17365741540421001</v>
      </c>
      <c r="Q33" s="6">
        <v>6.0599132360490797E-3</v>
      </c>
      <c r="R33" s="3">
        <v>0.139059576820035</v>
      </c>
      <c r="S33" s="6" t="s">
        <v>32</v>
      </c>
      <c r="T33" s="3" t="s">
        <v>32</v>
      </c>
      <c r="U33" s="6">
        <v>7.2209046284081001E-3</v>
      </c>
      <c r="V33" s="3" t="s">
        <v>32</v>
      </c>
      <c r="W33" s="6">
        <v>2.37081759742119E-2</v>
      </c>
      <c r="X33" s="3" t="s">
        <v>32</v>
      </c>
      <c r="AJ33" s="6"/>
      <c r="AS33" s="3"/>
      <c r="AV33" s="6"/>
      <c r="BB33" s="6"/>
      <c r="BE33" s="3"/>
      <c r="BG33" s="6"/>
      <c r="BH33" s="6"/>
      <c r="BI33" s="3"/>
      <c r="BJ33" s="3"/>
      <c r="BK33" s="6"/>
      <c r="BL33" s="6"/>
      <c r="BM33" s="3"/>
      <c r="BN33" s="3"/>
      <c r="BO33" s="6"/>
      <c r="BP33" s="6"/>
      <c r="BQ33" s="3"/>
      <c r="BR33" s="3"/>
    </row>
    <row r="34" spans="1:70" x14ac:dyDescent="0.35">
      <c r="A34" s="2"/>
      <c r="B34" s="2" t="b">
        <v>0</v>
      </c>
      <c r="C34" s="2" t="s">
        <v>84</v>
      </c>
      <c r="D34" s="4">
        <v>46175.697893518503</v>
      </c>
      <c r="E34" s="5" t="s">
        <v>28</v>
      </c>
      <c r="F34" s="6" t="s">
        <v>110</v>
      </c>
      <c r="G34" s="2" t="s">
        <v>115</v>
      </c>
      <c r="H34" s="3" t="s">
        <v>32</v>
      </c>
      <c r="I34" s="6" t="s">
        <v>32</v>
      </c>
      <c r="J34" s="3" t="s">
        <v>32</v>
      </c>
      <c r="K34" s="6" t="s">
        <v>32</v>
      </c>
      <c r="L34" s="3" t="s">
        <v>32</v>
      </c>
      <c r="M34" s="6" t="s">
        <v>32</v>
      </c>
      <c r="N34" s="3" t="s">
        <v>32</v>
      </c>
      <c r="O34" s="6" t="s">
        <v>32</v>
      </c>
      <c r="P34" s="3" t="s">
        <v>32</v>
      </c>
      <c r="Q34" s="6" t="s">
        <v>32</v>
      </c>
      <c r="R34" s="3" t="s">
        <v>32</v>
      </c>
      <c r="S34" s="6" t="s">
        <v>32</v>
      </c>
      <c r="T34" s="3" t="s">
        <v>32</v>
      </c>
      <c r="U34" s="6">
        <v>7.3320043401443099E-4</v>
      </c>
      <c r="V34" s="3" t="s">
        <v>32</v>
      </c>
      <c r="W34" s="6" t="s">
        <v>32</v>
      </c>
      <c r="X34" s="3" t="s">
        <v>32</v>
      </c>
      <c r="AJ34" s="6"/>
      <c r="AS34" s="3"/>
      <c r="AV34" s="6"/>
      <c r="BB34" s="6"/>
      <c r="BE34" s="3"/>
      <c r="BG34" s="6"/>
      <c r="BH34" s="6"/>
      <c r="BI34" s="3"/>
      <c r="BJ34" s="3"/>
      <c r="BK34" s="6"/>
      <c r="BL34" s="6"/>
      <c r="BM34" s="3"/>
      <c r="BN34" s="3"/>
      <c r="BO34" s="6"/>
      <c r="BP34" s="6"/>
      <c r="BQ34" s="3"/>
      <c r="BR34" s="3"/>
    </row>
  </sheetData>
  <mergeCells count="1">
    <mergeCell ref="A1:G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2748571B-E6B0-4A8A-8031-73D3BA533098}">
          <x14:formula1>
            <xm:f>ValueList_Helper!$A$1:$A$20</xm:f>
          </x14:formula1>
          <xm:sqref>E3:E34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8D392-3A3E-4338-925E-C15CA3F4509C}">
  <dimension ref="A1:M23"/>
  <sheetViews>
    <sheetView topLeftCell="B2" zoomScale="83" zoomScaleNormal="118" workbookViewId="0">
      <selection activeCell="M15" sqref="M15"/>
    </sheetView>
  </sheetViews>
  <sheetFormatPr defaultRowHeight="14.5" x14ac:dyDescent="0.35"/>
  <cols>
    <col min="4" max="4" width="13.6328125" bestFit="1" customWidth="1"/>
    <col min="7" max="7" width="18.90625" customWidth="1"/>
    <col min="8" max="8" width="10.1796875" customWidth="1"/>
    <col min="9" max="9" width="13" customWidth="1"/>
    <col min="10" max="10" width="10.26953125" customWidth="1"/>
  </cols>
  <sheetData>
    <row r="1" spans="1:13" x14ac:dyDescent="0.35">
      <c r="A1" s="44" t="s">
        <v>28</v>
      </c>
      <c r="B1" s="45"/>
      <c r="C1" s="45"/>
      <c r="D1" s="45"/>
      <c r="E1" s="45"/>
      <c r="F1" s="45"/>
      <c r="G1" s="46"/>
      <c r="I1" s="23" t="s">
        <v>79</v>
      </c>
    </row>
    <row r="2" spans="1:13" x14ac:dyDescent="0.35">
      <c r="A2" s="1"/>
      <c r="B2" s="1"/>
      <c r="C2" s="1"/>
      <c r="D2" s="1"/>
      <c r="E2" s="1"/>
      <c r="F2" s="1"/>
      <c r="G2" s="1" t="s">
        <v>137</v>
      </c>
      <c r="H2" s="27" t="s">
        <v>28</v>
      </c>
      <c r="I2" s="1" t="s">
        <v>49</v>
      </c>
      <c r="J2" s="28" t="s">
        <v>138</v>
      </c>
      <c r="K2" s="26" t="s">
        <v>145</v>
      </c>
      <c r="L2" s="26" t="s">
        <v>146</v>
      </c>
    </row>
    <row r="3" spans="1:13" x14ac:dyDescent="0.35">
      <c r="A3" s="2"/>
      <c r="B3" s="2" t="b">
        <v>0</v>
      </c>
      <c r="C3" s="2" t="s">
        <v>74</v>
      </c>
      <c r="D3" s="4">
        <v>46175.628206018497</v>
      </c>
      <c r="E3" s="5" t="s">
        <v>28</v>
      </c>
      <c r="F3" s="6" t="s">
        <v>110</v>
      </c>
      <c r="G3" s="2" t="s">
        <v>124</v>
      </c>
      <c r="H3" s="22" t="s">
        <v>139</v>
      </c>
      <c r="I3" s="6">
        <v>33.236941746425998</v>
      </c>
      <c r="J3" s="22" t="s">
        <v>139</v>
      </c>
      <c r="K3">
        <f>(I3+I4)/2</f>
        <v>30.583895740614249</v>
      </c>
      <c r="L3">
        <f>STDEV(I3:I4)</f>
        <v>3.7519736430187449</v>
      </c>
    </row>
    <row r="4" spans="1:13" x14ac:dyDescent="0.35">
      <c r="A4" s="2"/>
      <c r="B4" s="2" t="b">
        <v>0</v>
      </c>
      <c r="C4" s="2" t="s">
        <v>69</v>
      </c>
      <c r="D4" s="4">
        <v>46175.631261574097</v>
      </c>
      <c r="E4" s="5" t="s">
        <v>28</v>
      </c>
      <c r="F4" s="6" t="s">
        <v>110</v>
      </c>
      <c r="G4" s="2" t="s">
        <v>125</v>
      </c>
      <c r="H4" s="22" t="s">
        <v>140</v>
      </c>
      <c r="I4" s="6">
        <v>27.9308497348025</v>
      </c>
      <c r="J4" s="22" t="s">
        <v>140</v>
      </c>
    </row>
    <row r="5" spans="1:13" x14ac:dyDescent="0.35">
      <c r="A5" s="2"/>
      <c r="B5" s="2" t="b">
        <v>0</v>
      </c>
      <c r="C5" s="2" t="s">
        <v>94</v>
      </c>
      <c r="D5" s="4">
        <v>46175.652430555601</v>
      </c>
      <c r="E5" s="5" t="s">
        <v>28</v>
      </c>
      <c r="F5" s="6" t="s">
        <v>110</v>
      </c>
      <c r="G5" s="2" t="s">
        <v>131</v>
      </c>
      <c r="H5" s="22" t="s">
        <v>141</v>
      </c>
      <c r="I5" s="6">
        <v>29.553223728031298</v>
      </c>
      <c r="J5" s="22" t="s">
        <v>141</v>
      </c>
      <c r="K5">
        <f t="shared" ref="K5:K13" si="0">(I5+I6)/2</f>
        <v>31.119031452690248</v>
      </c>
      <c r="L5">
        <f t="shared" ref="L5:L13" si="1">STDEV(I5:I6)</f>
        <v>2.2143865202812432</v>
      </c>
    </row>
    <row r="6" spans="1:13" x14ac:dyDescent="0.35">
      <c r="A6" s="2"/>
      <c r="B6" s="2" t="b">
        <v>0</v>
      </c>
      <c r="C6" s="2" t="s">
        <v>48</v>
      </c>
      <c r="D6" s="4">
        <v>46175.646377314799</v>
      </c>
      <c r="E6" s="5" t="s">
        <v>28</v>
      </c>
      <c r="F6" s="6" t="s">
        <v>110</v>
      </c>
      <c r="G6" s="2" t="s">
        <v>129</v>
      </c>
      <c r="H6" s="22" t="s">
        <v>141</v>
      </c>
      <c r="I6" s="6">
        <v>32.684839177349197</v>
      </c>
      <c r="J6" s="22" t="s">
        <v>141</v>
      </c>
    </row>
    <row r="7" spans="1:13" x14ac:dyDescent="0.35">
      <c r="A7" s="2"/>
      <c r="B7" s="2" t="b">
        <v>0</v>
      </c>
      <c r="C7" s="2" t="s">
        <v>72</v>
      </c>
      <c r="D7" s="4">
        <v>46175.634259259299</v>
      </c>
      <c r="E7" s="5" t="s">
        <v>28</v>
      </c>
      <c r="F7" s="6" t="s">
        <v>110</v>
      </c>
      <c r="G7" s="2" t="s">
        <v>126</v>
      </c>
      <c r="H7" s="22" t="s">
        <v>142</v>
      </c>
      <c r="I7" s="6">
        <v>591.33467937520402</v>
      </c>
      <c r="J7" s="22" t="s">
        <v>142</v>
      </c>
      <c r="K7">
        <f t="shared" si="0"/>
        <v>399.46839823131154</v>
      </c>
      <c r="L7">
        <f t="shared" si="1"/>
        <v>271.33989695578197</v>
      </c>
    </row>
    <row r="8" spans="1:13" x14ac:dyDescent="0.35">
      <c r="A8" s="2"/>
      <c r="B8" s="2" t="b">
        <v>0</v>
      </c>
      <c r="C8" s="2" t="s">
        <v>96</v>
      </c>
      <c r="D8" s="4">
        <v>46175.637314814798</v>
      </c>
      <c r="E8" s="5" t="s">
        <v>28</v>
      </c>
      <c r="F8" s="6" t="s">
        <v>110</v>
      </c>
      <c r="G8" s="2" t="s">
        <v>136</v>
      </c>
      <c r="H8" s="22" t="s">
        <v>142</v>
      </c>
      <c r="I8" s="6">
        <v>207.602117087419</v>
      </c>
      <c r="J8" s="22" t="s">
        <v>142</v>
      </c>
    </row>
    <row r="9" spans="1:13" x14ac:dyDescent="0.35">
      <c r="A9" s="2"/>
      <c r="B9" s="2" t="b">
        <v>0</v>
      </c>
      <c r="C9" s="2" t="s">
        <v>44</v>
      </c>
      <c r="D9" s="4">
        <v>46175.6554861111</v>
      </c>
      <c r="E9" s="5" t="s">
        <v>28</v>
      </c>
      <c r="F9" s="6" t="s">
        <v>110</v>
      </c>
      <c r="G9" s="2" t="s">
        <v>132</v>
      </c>
      <c r="H9" s="22" t="s">
        <v>143</v>
      </c>
      <c r="I9" s="6">
        <v>1279.51687978207</v>
      </c>
      <c r="J9" s="22" t="s">
        <v>143</v>
      </c>
      <c r="K9">
        <f>(I9+I10)/2</f>
        <v>1417.96649497618</v>
      </c>
      <c r="L9">
        <f>STDEV(I9:I10)</f>
        <v>195.79732351284656</v>
      </c>
    </row>
    <row r="10" spans="1:13" x14ac:dyDescent="0.35">
      <c r="A10" s="2"/>
      <c r="B10" s="2" t="b">
        <v>0</v>
      </c>
      <c r="C10" s="2" t="s">
        <v>85</v>
      </c>
      <c r="D10" s="4">
        <v>46175.6403125</v>
      </c>
      <c r="E10" s="5" t="s">
        <v>28</v>
      </c>
      <c r="F10" s="6" t="s">
        <v>110</v>
      </c>
      <c r="G10" s="2" t="s">
        <v>127</v>
      </c>
      <c r="H10" s="22" t="s">
        <v>143</v>
      </c>
      <c r="I10" s="6">
        <v>1556.41611017029</v>
      </c>
      <c r="J10" s="22" t="s">
        <v>143</v>
      </c>
    </row>
    <row r="11" spans="1:13" x14ac:dyDescent="0.35">
      <c r="A11" s="2"/>
      <c r="B11" s="2" t="b">
        <v>0</v>
      </c>
      <c r="C11" s="2" t="s">
        <v>64</v>
      </c>
      <c r="D11" s="4">
        <v>46175.649432870399</v>
      </c>
      <c r="E11" s="5" t="s">
        <v>28</v>
      </c>
      <c r="F11" s="6" t="s">
        <v>110</v>
      </c>
      <c r="G11" s="2" t="s">
        <v>130</v>
      </c>
      <c r="H11" s="22" t="s">
        <v>144</v>
      </c>
      <c r="I11" s="6">
        <v>715.47448011339497</v>
      </c>
      <c r="J11" s="22" t="s">
        <v>144</v>
      </c>
      <c r="K11">
        <f t="shared" si="0"/>
        <v>768.81808526605448</v>
      </c>
      <c r="L11">
        <f t="shared" si="1"/>
        <v>75.439249872766396</v>
      </c>
    </row>
    <row r="12" spans="1:13" x14ac:dyDescent="0.35">
      <c r="A12" s="2"/>
      <c r="B12" s="2" t="b">
        <v>0</v>
      </c>
      <c r="C12" s="2" t="s">
        <v>20</v>
      </c>
      <c r="D12" s="4">
        <v>46175.6584953704</v>
      </c>
      <c r="E12" s="5" t="s">
        <v>28</v>
      </c>
      <c r="F12" s="6" t="s">
        <v>110</v>
      </c>
      <c r="G12" s="2" t="s">
        <v>133</v>
      </c>
      <c r="H12" s="22" t="s">
        <v>144</v>
      </c>
      <c r="I12" s="6">
        <v>822.16169041871399</v>
      </c>
      <c r="J12" s="22" t="s">
        <v>144</v>
      </c>
    </row>
    <row r="13" spans="1:13" x14ac:dyDescent="0.35">
      <c r="A13" s="2"/>
      <c r="B13" s="2" t="b">
        <v>0</v>
      </c>
      <c r="C13" s="2" t="s">
        <v>73</v>
      </c>
      <c r="D13" s="4">
        <v>46175.661550925899</v>
      </c>
      <c r="E13" s="5" t="s">
        <v>28</v>
      </c>
      <c r="F13" s="6" t="s">
        <v>110</v>
      </c>
      <c r="G13" s="2" t="s">
        <v>134</v>
      </c>
      <c r="H13" s="22" t="s">
        <v>135</v>
      </c>
      <c r="I13" s="6">
        <v>79.531844909864901</v>
      </c>
      <c r="J13" s="22" t="s">
        <v>135</v>
      </c>
      <c r="K13">
        <f t="shared" si="0"/>
        <v>148.97879965452944</v>
      </c>
      <c r="L13">
        <f t="shared" si="1"/>
        <v>98.212825265415191</v>
      </c>
    </row>
    <row r="14" spans="1:13" x14ac:dyDescent="0.35">
      <c r="A14" s="2"/>
      <c r="B14" s="2" t="b">
        <v>0</v>
      </c>
      <c r="C14" s="2" t="s">
        <v>9</v>
      </c>
      <c r="D14" s="4">
        <v>46175.643379629597</v>
      </c>
      <c r="E14" s="5" t="s">
        <v>28</v>
      </c>
      <c r="F14" s="6" t="s">
        <v>110</v>
      </c>
      <c r="G14" s="2" t="s">
        <v>128</v>
      </c>
      <c r="H14" s="22" t="s">
        <v>135</v>
      </c>
      <c r="I14" s="6">
        <v>218.42575439919401</v>
      </c>
    </row>
    <row r="15" spans="1:13" x14ac:dyDescent="0.35">
      <c r="A15" s="7"/>
      <c r="B15" s="7" t="b">
        <v>0</v>
      </c>
      <c r="C15" s="7" t="s">
        <v>31</v>
      </c>
      <c r="D15" s="8">
        <v>46175.682719907403</v>
      </c>
      <c r="E15" s="9" t="s">
        <v>28</v>
      </c>
      <c r="F15" s="10" t="s">
        <v>110</v>
      </c>
      <c r="G15" s="7" t="s">
        <v>150</v>
      </c>
      <c r="H15" s="11"/>
      <c r="I15" s="10">
        <v>124.771842997498</v>
      </c>
      <c r="J15" t="s">
        <v>149</v>
      </c>
      <c r="K15">
        <f>AVERAGE(I15:I17)</f>
        <v>142.97184106968433</v>
      </c>
      <c r="L15">
        <f>STDEV(I15:I17)</f>
        <v>16.110052003787978</v>
      </c>
      <c r="M15">
        <f>(L15/K15)*100</f>
        <v>11.267989474889642</v>
      </c>
    </row>
    <row r="16" spans="1:13" x14ac:dyDescent="0.35">
      <c r="A16" s="7"/>
      <c r="B16" s="7" t="b">
        <v>0</v>
      </c>
      <c r="C16" s="7" t="s">
        <v>117</v>
      </c>
      <c r="D16" s="8">
        <v>46175.685775462996</v>
      </c>
      <c r="E16" s="9" t="s">
        <v>28</v>
      </c>
      <c r="F16" s="10" t="s">
        <v>110</v>
      </c>
      <c r="G16" s="7" t="s">
        <v>70</v>
      </c>
      <c r="H16" s="11"/>
      <c r="I16" s="10">
        <v>148.73959938907299</v>
      </c>
    </row>
    <row r="17" spans="1:12" x14ac:dyDescent="0.35">
      <c r="A17" s="7"/>
      <c r="B17" s="7" t="b">
        <v>0</v>
      </c>
      <c r="C17" s="7" t="s">
        <v>120</v>
      </c>
      <c r="D17" s="8">
        <v>46175.688773148097</v>
      </c>
      <c r="E17" s="9" t="s">
        <v>28</v>
      </c>
      <c r="F17" s="10" t="s">
        <v>110</v>
      </c>
      <c r="G17" s="7" t="s">
        <v>118</v>
      </c>
      <c r="H17" s="11"/>
      <c r="I17" s="10">
        <v>155.404080822482</v>
      </c>
    </row>
    <row r="18" spans="1:12" x14ac:dyDescent="0.35">
      <c r="A18" s="17"/>
      <c r="B18" s="17" t="b">
        <v>0</v>
      </c>
      <c r="C18" s="17" t="s">
        <v>7</v>
      </c>
      <c r="D18" s="18">
        <v>46175.664548611101</v>
      </c>
      <c r="E18" s="19" t="s">
        <v>28</v>
      </c>
      <c r="F18" s="20" t="s">
        <v>110</v>
      </c>
      <c r="G18" s="17" t="s">
        <v>151</v>
      </c>
      <c r="H18" s="21"/>
      <c r="I18" s="20">
        <v>77.439895089817298</v>
      </c>
      <c r="J18" t="s">
        <v>147</v>
      </c>
      <c r="K18">
        <f>(I18+I19+I20)/3</f>
        <v>82.625376303031246</v>
      </c>
      <c r="L18">
        <f>STDEV(I18:I20)</f>
        <v>7.5730115662079331</v>
      </c>
    </row>
    <row r="19" spans="1:12" x14ac:dyDescent="0.35">
      <c r="A19" s="17"/>
      <c r="B19" s="17" t="b">
        <v>0</v>
      </c>
      <c r="C19" s="17" t="s">
        <v>97</v>
      </c>
      <c r="D19" s="18">
        <v>46175.667604166701</v>
      </c>
      <c r="E19" s="19" t="s">
        <v>28</v>
      </c>
      <c r="F19" s="20" t="s">
        <v>110</v>
      </c>
      <c r="G19" s="17" t="s">
        <v>108</v>
      </c>
      <c r="H19" s="21"/>
      <c r="I19" s="20">
        <v>79.120281832951306</v>
      </c>
    </row>
    <row r="20" spans="1:12" x14ac:dyDescent="0.35">
      <c r="A20" s="17"/>
      <c r="B20" s="17" t="b">
        <v>0</v>
      </c>
      <c r="C20" s="17" t="s">
        <v>81</v>
      </c>
      <c r="D20" s="18">
        <v>46175.670601851903</v>
      </c>
      <c r="E20" s="19" t="s">
        <v>28</v>
      </c>
      <c r="F20" s="20" t="s">
        <v>110</v>
      </c>
      <c r="G20" s="17" t="s">
        <v>10</v>
      </c>
      <c r="H20" s="21"/>
      <c r="I20" s="20">
        <v>91.315951986325103</v>
      </c>
    </row>
    <row r="21" spans="1:12" x14ac:dyDescent="0.35">
      <c r="A21" s="12"/>
      <c r="B21" s="12" t="b">
        <v>0</v>
      </c>
      <c r="C21" s="12" t="s">
        <v>51</v>
      </c>
      <c r="D21" s="13">
        <v>46175.673668981501</v>
      </c>
      <c r="E21" s="14" t="s">
        <v>28</v>
      </c>
      <c r="F21" s="15" t="s">
        <v>110</v>
      </c>
      <c r="G21" s="12" t="s">
        <v>152</v>
      </c>
      <c r="H21" s="16"/>
      <c r="I21" s="15">
        <v>62.543620093647696</v>
      </c>
      <c r="J21" t="s">
        <v>148</v>
      </c>
      <c r="K21">
        <f>AVERAGE(I21:I23)</f>
        <v>59.52184448902387</v>
      </c>
      <c r="L21">
        <f>STDEV(I21:I23)</f>
        <v>11.576852671975297</v>
      </c>
    </row>
    <row r="22" spans="1:12" x14ac:dyDescent="0.35">
      <c r="A22" s="12"/>
      <c r="B22" s="12" t="b">
        <v>0</v>
      </c>
      <c r="C22" s="12" t="s">
        <v>3</v>
      </c>
      <c r="D22" s="13">
        <v>46175.676666666703</v>
      </c>
      <c r="E22" s="14" t="s">
        <v>28</v>
      </c>
      <c r="F22" s="15" t="s">
        <v>110</v>
      </c>
      <c r="G22" s="12" t="s">
        <v>4</v>
      </c>
      <c r="H22" s="16"/>
      <c r="I22" s="15">
        <v>69.288153675995105</v>
      </c>
    </row>
    <row r="23" spans="1:12" x14ac:dyDescent="0.35">
      <c r="A23" s="12"/>
      <c r="B23" s="12" t="b">
        <v>0</v>
      </c>
      <c r="C23" s="12" t="s">
        <v>66</v>
      </c>
      <c r="D23" s="13">
        <v>46175.679722222201</v>
      </c>
      <c r="E23" s="14" t="s">
        <v>28</v>
      </c>
      <c r="F23" s="15" t="s">
        <v>110</v>
      </c>
      <c r="G23" s="12" t="s">
        <v>100</v>
      </c>
      <c r="H23" s="16"/>
      <c r="I23" s="15">
        <v>46.733759697428802</v>
      </c>
    </row>
  </sheetData>
  <mergeCells count="1">
    <mergeCell ref="A1:G1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78420714-23A7-4285-B00E-BA1121CE5B8E}">
          <x14:formula1>
            <xm:f>ValueList_Helper!$A$1:$A$20</xm:f>
          </x14:formula1>
          <xm:sqref>E3:E14 E15:E23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5554E-5859-4478-9693-9ABA1EE0D38C}">
  <dimension ref="B3:D23"/>
  <sheetViews>
    <sheetView workbookViewId="0">
      <selection activeCell="G25" sqref="G25"/>
    </sheetView>
  </sheetViews>
  <sheetFormatPr defaultRowHeight="14.5" x14ac:dyDescent="0.35"/>
  <cols>
    <col min="3" max="3" width="20.54296875" customWidth="1"/>
    <col min="4" max="4" width="7.36328125" customWidth="1"/>
  </cols>
  <sheetData>
    <row r="3" spans="2:4" x14ac:dyDescent="0.35">
      <c r="B3" s="36" t="s">
        <v>172</v>
      </c>
      <c r="C3" s="36" t="s">
        <v>182</v>
      </c>
      <c r="D3" s="35"/>
    </row>
    <row r="4" spans="2:4" x14ac:dyDescent="0.35">
      <c r="B4" s="37" t="s">
        <v>173</v>
      </c>
      <c r="C4" s="38">
        <v>26.23</v>
      </c>
    </row>
    <row r="5" spans="2:4" x14ac:dyDescent="0.35">
      <c r="B5" s="37" t="s">
        <v>174</v>
      </c>
      <c r="C5" s="38">
        <v>6.45</v>
      </c>
    </row>
    <row r="6" spans="2:4" x14ac:dyDescent="0.35">
      <c r="B6" s="37" t="s">
        <v>175</v>
      </c>
      <c r="C6" s="38">
        <v>2.72</v>
      </c>
    </row>
    <row r="7" spans="2:4" x14ac:dyDescent="0.35">
      <c r="B7" s="37" t="s">
        <v>176</v>
      </c>
      <c r="C7" s="38">
        <v>2.8220000000000001</v>
      </c>
    </row>
    <row r="8" spans="2:4" x14ac:dyDescent="0.35">
      <c r="B8" s="37" t="s">
        <v>177</v>
      </c>
      <c r="C8" s="38">
        <v>0.745</v>
      </c>
    </row>
    <row r="9" spans="2:4" x14ac:dyDescent="0.35">
      <c r="B9" s="37" t="s">
        <v>178</v>
      </c>
      <c r="C9" s="38">
        <v>0.45600000000000002</v>
      </c>
    </row>
    <row r="10" spans="2:4" x14ac:dyDescent="0.35">
      <c r="B10" s="37" t="s">
        <v>179</v>
      </c>
      <c r="C10" s="38">
        <v>0.53400000000000003</v>
      </c>
    </row>
    <row r="11" spans="2:4" x14ac:dyDescent="0.35">
      <c r="B11" s="37" t="s">
        <v>180</v>
      </c>
      <c r="C11" s="38">
        <v>0.58699999999999997</v>
      </c>
    </row>
    <row r="12" spans="2:4" x14ac:dyDescent="0.35">
      <c r="B12" s="37" t="s">
        <v>181</v>
      </c>
      <c r="C12" s="38">
        <v>0.20799999999999999</v>
      </c>
    </row>
    <row r="15" spans="2:4" x14ac:dyDescent="0.35">
      <c r="B15" t="str">
        <f t="shared" ref="B15:B23" si="0">B4&amp;" (wt.%)"</f>
        <v>Si (wt.%)</v>
      </c>
    </row>
    <row r="16" spans="2:4" x14ac:dyDescent="0.35">
      <c r="B16" t="str">
        <f t="shared" si="0"/>
        <v>Ca (wt.%)</v>
      </c>
    </row>
    <row r="17" spans="2:2" x14ac:dyDescent="0.35">
      <c r="B17" t="str">
        <f t="shared" si="0"/>
        <v>Na (wt.%)</v>
      </c>
    </row>
    <row r="18" spans="2:2" x14ac:dyDescent="0.35">
      <c r="B18" t="str">
        <f t="shared" si="0"/>
        <v>Cu (wt.%)</v>
      </c>
    </row>
    <row r="19" spans="2:2" x14ac:dyDescent="0.35">
      <c r="B19" t="str">
        <f t="shared" si="0"/>
        <v>Al (wt.%)</v>
      </c>
    </row>
    <row r="20" spans="2:2" x14ac:dyDescent="0.35">
      <c r="B20" t="str">
        <f t="shared" si="0"/>
        <v>Sn (wt.%)</v>
      </c>
    </row>
    <row r="21" spans="2:2" x14ac:dyDescent="0.35">
      <c r="B21" t="str">
        <f t="shared" si="0"/>
        <v>Fe (wt.%)</v>
      </c>
    </row>
    <row r="22" spans="2:2" x14ac:dyDescent="0.35">
      <c r="B22" t="str">
        <f t="shared" si="0"/>
        <v>Pb (wt.%)</v>
      </c>
    </row>
    <row r="23" spans="2:2" x14ac:dyDescent="0.35">
      <c r="B23" t="str">
        <f t="shared" si="0"/>
        <v>Ag (wt.%)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02C0-B60C-4C95-A857-E32C552E073A}">
  <dimension ref="A1:T41"/>
  <sheetViews>
    <sheetView zoomScale="70" zoomScaleNormal="70" workbookViewId="0">
      <pane ySplit="1" topLeftCell="A2" activePane="bottomLeft" state="frozen"/>
      <selection pane="bottomLeft" activeCell="B1" sqref="B1:T20"/>
    </sheetView>
  </sheetViews>
  <sheetFormatPr defaultRowHeight="14.5" x14ac:dyDescent="0.35"/>
  <cols>
    <col min="2" max="2" width="14.26953125" bestFit="1" customWidth="1"/>
    <col min="3" max="3" width="10.90625" bestFit="1" customWidth="1"/>
    <col min="4" max="4" width="11" bestFit="1" customWidth="1"/>
    <col min="5" max="6" width="10.81640625" bestFit="1" customWidth="1"/>
    <col min="7" max="8" width="10.90625" bestFit="1" customWidth="1"/>
    <col min="9" max="9" width="10.81640625" bestFit="1" customWidth="1"/>
    <col min="10" max="10" width="11" bestFit="1" customWidth="1"/>
    <col min="11" max="11" width="10.81640625" bestFit="1" customWidth="1"/>
    <col min="12" max="12" width="10.90625" bestFit="1" customWidth="1"/>
    <col min="13" max="13" width="10.81640625" bestFit="1" customWidth="1"/>
    <col min="14" max="14" width="10.90625" bestFit="1" customWidth="1"/>
    <col min="15" max="15" width="10.81640625" bestFit="1" customWidth="1"/>
    <col min="16" max="16" width="11" bestFit="1" customWidth="1"/>
    <col min="17" max="17" width="11" customWidth="1"/>
    <col min="18" max="18" width="11.81640625" bestFit="1" customWidth="1"/>
    <col min="19" max="20" width="11.7265625" bestFit="1" customWidth="1"/>
  </cols>
  <sheetData>
    <row r="1" spans="2:20" x14ac:dyDescent="0.35">
      <c r="B1" s="23" t="s">
        <v>28</v>
      </c>
      <c r="C1" s="23" t="s">
        <v>113</v>
      </c>
      <c r="D1" s="23" t="s">
        <v>14</v>
      </c>
      <c r="E1" s="23" t="s">
        <v>76</v>
      </c>
      <c r="F1" s="23" t="s">
        <v>53</v>
      </c>
      <c r="G1" s="23" t="s">
        <v>17</v>
      </c>
      <c r="H1" s="23" t="s">
        <v>22</v>
      </c>
      <c r="I1" s="23" t="s">
        <v>95</v>
      </c>
      <c r="J1" s="23" t="s">
        <v>21</v>
      </c>
      <c r="K1" s="23" t="s">
        <v>87</v>
      </c>
      <c r="L1" s="23" t="s">
        <v>71</v>
      </c>
      <c r="M1" s="23" t="s">
        <v>52</v>
      </c>
      <c r="N1" s="23" t="s">
        <v>79</v>
      </c>
      <c r="O1" s="23" t="s">
        <v>78</v>
      </c>
      <c r="P1" s="23" t="s">
        <v>1</v>
      </c>
      <c r="Q1" s="23" t="s">
        <v>156</v>
      </c>
      <c r="R1" s="23" t="s">
        <v>92</v>
      </c>
      <c r="S1" s="23" t="s">
        <v>33</v>
      </c>
      <c r="T1" s="23" t="s">
        <v>122</v>
      </c>
    </row>
    <row r="2" spans="2:20" x14ac:dyDescent="0.35">
      <c r="B2" s="1" t="s">
        <v>106</v>
      </c>
      <c r="C2" s="1" t="s">
        <v>49</v>
      </c>
      <c r="D2" s="1" t="s">
        <v>49</v>
      </c>
      <c r="E2" s="1" t="s">
        <v>49</v>
      </c>
      <c r="F2" s="1" t="s">
        <v>49</v>
      </c>
      <c r="G2" s="1" t="s">
        <v>49</v>
      </c>
      <c r="H2" s="1" t="s">
        <v>49</v>
      </c>
      <c r="I2" s="1" t="s">
        <v>49</v>
      </c>
      <c r="J2" s="1" t="s">
        <v>49</v>
      </c>
      <c r="K2" s="1" t="s">
        <v>49</v>
      </c>
      <c r="L2" s="1" t="s">
        <v>49</v>
      </c>
      <c r="M2" s="1" t="s">
        <v>49</v>
      </c>
      <c r="N2" s="1" t="s">
        <v>49</v>
      </c>
      <c r="O2" s="1" t="s">
        <v>49</v>
      </c>
      <c r="P2" s="1" t="s">
        <v>49</v>
      </c>
      <c r="Q2" s="1" t="s">
        <v>49</v>
      </c>
      <c r="R2" s="1" t="s">
        <v>49</v>
      </c>
      <c r="S2" s="1" t="s">
        <v>49</v>
      </c>
      <c r="T2" s="1" t="s">
        <v>49</v>
      </c>
    </row>
    <row r="3" spans="2:20" x14ac:dyDescent="0.35">
      <c r="B3" s="2" t="s">
        <v>124</v>
      </c>
      <c r="C3" s="3">
        <v>444.004757212752</v>
      </c>
      <c r="D3" s="6">
        <v>109.087232989214</v>
      </c>
      <c r="E3" s="3">
        <v>882.96742215840902</v>
      </c>
      <c r="F3" s="6">
        <v>140.0727213863</v>
      </c>
      <c r="G3" s="3">
        <v>80.759174676727696</v>
      </c>
      <c r="H3" s="6">
        <v>116.10714095732401</v>
      </c>
      <c r="I3" s="3">
        <v>3.5906034639275402</v>
      </c>
      <c r="J3" s="6">
        <v>0.86877883755468599</v>
      </c>
      <c r="K3" s="3">
        <v>56.012155252344201</v>
      </c>
      <c r="L3" s="6">
        <v>1.6584256058902E-3</v>
      </c>
      <c r="M3" s="3" t="s">
        <v>32</v>
      </c>
      <c r="N3" s="6">
        <v>33.236941746425998</v>
      </c>
      <c r="O3" s="3">
        <v>18.383565185046201</v>
      </c>
      <c r="P3" s="6">
        <v>0.20363340227221</v>
      </c>
      <c r="Q3" s="6">
        <v>4.0609999999999999</v>
      </c>
      <c r="R3" s="3">
        <v>2.9157620681926E-2</v>
      </c>
      <c r="S3" s="6">
        <v>3.0619208183907398</v>
      </c>
      <c r="T3" s="3">
        <v>55.993973833474399</v>
      </c>
    </row>
    <row r="4" spans="2:20" x14ac:dyDescent="0.35">
      <c r="B4" s="2" t="s">
        <v>125</v>
      </c>
      <c r="C4" s="3">
        <v>393.869994417898</v>
      </c>
      <c r="D4" s="6">
        <v>85.273413416655103</v>
      </c>
      <c r="E4" s="3">
        <v>96.740688497506099</v>
      </c>
      <c r="F4" s="6">
        <v>194.24113820833301</v>
      </c>
      <c r="G4" s="3">
        <v>27.3971169903669</v>
      </c>
      <c r="H4" s="6">
        <v>54.060480538540403</v>
      </c>
      <c r="I4" s="3">
        <v>10.2978722151488</v>
      </c>
      <c r="J4" s="6">
        <v>1.67106120325038</v>
      </c>
      <c r="K4" s="3">
        <v>109.874384068826</v>
      </c>
      <c r="L4" s="6">
        <v>0.33984911071810903</v>
      </c>
      <c r="M4" s="3">
        <v>12.4180539220919</v>
      </c>
      <c r="N4" s="6">
        <v>27.9308497348025</v>
      </c>
      <c r="O4" s="3">
        <v>11.679464703300701</v>
      </c>
      <c r="P4" s="6">
        <v>3.3466459384412499E-2</v>
      </c>
      <c r="Q4" s="6">
        <v>5.2229999999999999</v>
      </c>
      <c r="R4" s="3">
        <v>1.65754998157581E-2</v>
      </c>
      <c r="S4" s="6">
        <v>2.99777497179634</v>
      </c>
      <c r="T4" s="3">
        <v>55.467745133869499</v>
      </c>
    </row>
    <row r="5" spans="2:20" x14ac:dyDescent="0.35">
      <c r="B5" s="29" t="s">
        <v>158</v>
      </c>
      <c r="C5" s="30">
        <f>SUM(C3:C4)/2</f>
        <v>418.93737581532503</v>
      </c>
      <c r="D5" s="30">
        <f t="shared" ref="D5:T5" si="0">SUM(D3:D4)/2</f>
        <v>97.180323202934545</v>
      </c>
      <c r="E5" s="30">
        <f t="shared" si="0"/>
        <v>489.85405532795755</v>
      </c>
      <c r="F5" s="30">
        <f t="shared" si="0"/>
        <v>167.15692979731651</v>
      </c>
      <c r="G5" s="30">
        <f t="shared" si="0"/>
        <v>54.078145833547296</v>
      </c>
      <c r="H5" s="30">
        <f t="shared" si="0"/>
        <v>85.083810747932205</v>
      </c>
      <c r="I5" s="30">
        <f t="shared" si="0"/>
        <v>6.9442378395381699</v>
      </c>
      <c r="J5" s="30">
        <f t="shared" si="0"/>
        <v>1.2699200204025329</v>
      </c>
      <c r="K5" s="30">
        <f t="shared" si="0"/>
        <v>82.943269660585102</v>
      </c>
      <c r="L5" s="30">
        <f t="shared" si="0"/>
        <v>0.17075376816199961</v>
      </c>
      <c r="M5" s="30">
        <f t="shared" si="0"/>
        <v>6.2090269610459501</v>
      </c>
      <c r="N5" s="30">
        <f t="shared" si="0"/>
        <v>30.583895740614249</v>
      </c>
      <c r="O5" s="30">
        <f t="shared" si="0"/>
        <v>15.031514944173452</v>
      </c>
      <c r="P5" s="30">
        <f t="shared" si="0"/>
        <v>0.11854993082831125</v>
      </c>
      <c r="Q5" s="30">
        <f t="shared" si="0"/>
        <v>4.6419999999999995</v>
      </c>
      <c r="R5" s="30">
        <f t="shared" si="0"/>
        <v>2.2866560248842052E-2</v>
      </c>
      <c r="S5" s="30">
        <f t="shared" si="0"/>
        <v>3.0298478950935399</v>
      </c>
      <c r="T5" s="30">
        <f t="shared" si="0"/>
        <v>55.730859483671949</v>
      </c>
    </row>
    <row r="6" spans="2:20" x14ac:dyDescent="0.35">
      <c r="B6" s="2" t="s">
        <v>126</v>
      </c>
      <c r="C6" s="3">
        <v>1054.78307651968</v>
      </c>
      <c r="D6" s="6">
        <v>124.37897035973199</v>
      </c>
      <c r="E6" s="3">
        <v>354.67126114382398</v>
      </c>
      <c r="F6" s="6">
        <v>159.337683752071</v>
      </c>
      <c r="G6" s="3">
        <v>100.53484923492501</v>
      </c>
      <c r="H6" s="6">
        <v>206.141990971166</v>
      </c>
      <c r="I6" s="3">
        <v>23.289871642115699</v>
      </c>
      <c r="J6" s="6">
        <v>4.4097559554731998</v>
      </c>
      <c r="K6" s="3">
        <v>266.11714412820299</v>
      </c>
      <c r="L6" s="6">
        <v>0.24073541302762999</v>
      </c>
      <c r="M6" s="3">
        <v>19.2549415326664</v>
      </c>
      <c r="N6" s="6">
        <v>591.33467937520402</v>
      </c>
      <c r="O6" s="3">
        <v>17.8604993538499</v>
      </c>
      <c r="P6" s="6">
        <v>8.2665983485833996E-2</v>
      </c>
      <c r="Q6" s="6">
        <v>23.291</v>
      </c>
      <c r="R6" s="3">
        <v>5.0678994400178298E-2</v>
      </c>
      <c r="S6" s="6">
        <v>4.1670218039589102</v>
      </c>
      <c r="T6" s="3">
        <v>143.60266349369601</v>
      </c>
    </row>
    <row r="7" spans="2:20" x14ac:dyDescent="0.35">
      <c r="B7" s="2" t="s">
        <v>136</v>
      </c>
      <c r="C7" s="3">
        <v>934.86629913701597</v>
      </c>
      <c r="D7" s="6">
        <v>131.370793368677</v>
      </c>
      <c r="E7" s="3">
        <v>210.91926845125201</v>
      </c>
      <c r="F7" s="6">
        <v>214.861276279458</v>
      </c>
      <c r="G7" s="3">
        <v>88.3656150279038</v>
      </c>
      <c r="H7" s="6">
        <v>178.82015347732499</v>
      </c>
      <c r="I7" s="3">
        <v>16.565727319864301</v>
      </c>
      <c r="J7" s="6">
        <v>2.2266494552915401</v>
      </c>
      <c r="K7" s="3">
        <v>180.40240467246699</v>
      </c>
      <c r="L7" s="6">
        <v>0.27374062587953402</v>
      </c>
      <c r="M7" s="3">
        <v>10.7735325619728</v>
      </c>
      <c r="N7" s="6">
        <v>207.602117087419</v>
      </c>
      <c r="O7" s="3">
        <v>11.6648785118236</v>
      </c>
      <c r="P7" s="6">
        <v>4.8148810410426297E-2</v>
      </c>
      <c r="Q7" s="6">
        <v>15.186999999999999</v>
      </c>
      <c r="R7" s="3">
        <v>2.1621708823082401E-2</v>
      </c>
      <c r="S7" s="6">
        <v>6.1112837318315902</v>
      </c>
      <c r="T7" s="3">
        <v>120.402454497995</v>
      </c>
    </row>
    <row r="8" spans="2:20" x14ac:dyDescent="0.35">
      <c r="B8" s="29" t="s">
        <v>157</v>
      </c>
      <c r="C8" s="31">
        <v>994.82468782834803</v>
      </c>
      <c r="D8" s="31">
        <v>127.8748818642045</v>
      </c>
      <c r="E8" s="31">
        <v>282.79526479753798</v>
      </c>
      <c r="F8" s="31">
        <v>187.0994800157645</v>
      </c>
      <c r="G8" s="31">
        <v>94.450232131414396</v>
      </c>
      <c r="H8" s="31">
        <v>192.48107222424551</v>
      </c>
      <c r="I8" s="31">
        <v>19.92779948099</v>
      </c>
      <c r="J8" s="31">
        <v>3.3182027053823697</v>
      </c>
      <c r="K8" s="31">
        <v>223.259774400335</v>
      </c>
      <c r="L8" s="31">
        <v>0.25723801945358199</v>
      </c>
      <c r="M8" s="31">
        <v>15.0142370473196</v>
      </c>
      <c r="N8" s="31">
        <v>399.46839823131154</v>
      </c>
      <c r="O8" s="31">
        <v>14.762688932836749</v>
      </c>
      <c r="P8" s="31">
        <v>6.540739694813015E-2</v>
      </c>
      <c r="Q8" s="31">
        <v>19.239000000000001</v>
      </c>
      <c r="R8" s="31">
        <v>3.6150351611630348E-2</v>
      </c>
      <c r="S8" s="31">
        <v>5.1391527678952507</v>
      </c>
      <c r="T8" s="31">
        <v>132.0025589958455</v>
      </c>
    </row>
    <row r="9" spans="2:20" x14ac:dyDescent="0.35">
      <c r="B9" s="2" t="s">
        <v>155</v>
      </c>
      <c r="C9" s="3">
        <v>1976.12601757991</v>
      </c>
      <c r="D9" s="6">
        <v>168.05605621715699</v>
      </c>
      <c r="E9" s="3">
        <v>412.077735698504</v>
      </c>
      <c r="F9" s="6">
        <v>152.59591754188199</v>
      </c>
      <c r="G9" s="3">
        <v>90.099317938181798</v>
      </c>
      <c r="H9" s="6">
        <v>163.53461947545401</v>
      </c>
      <c r="I9" s="3">
        <v>17.3465728946891</v>
      </c>
      <c r="J9" s="6">
        <v>3.3384305787553599</v>
      </c>
      <c r="K9" s="3">
        <v>375.72601248180302</v>
      </c>
      <c r="L9" s="6">
        <v>0.20479261874652399</v>
      </c>
      <c r="M9" s="3">
        <v>7.5830542939658603</v>
      </c>
      <c r="N9" s="6">
        <v>1279.51687978207</v>
      </c>
      <c r="O9" s="3">
        <v>19.285219344799501</v>
      </c>
      <c r="P9" s="6">
        <v>7.97668250528802E-2</v>
      </c>
      <c r="Q9" s="6">
        <v>107.459</v>
      </c>
      <c r="R9" s="3">
        <v>3.30476987767684E-2</v>
      </c>
      <c r="S9" s="6">
        <v>5.1984957240753902</v>
      </c>
      <c r="T9" s="3">
        <v>386.16829283512402</v>
      </c>
    </row>
    <row r="10" spans="2:20" x14ac:dyDescent="0.35">
      <c r="B10" s="2" t="s">
        <v>127</v>
      </c>
      <c r="C10" s="3">
        <v>1759.09506513828</v>
      </c>
      <c r="D10" s="6">
        <v>145.56527339141499</v>
      </c>
      <c r="E10" s="3">
        <v>386.50428695790202</v>
      </c>
      <c r="F10" s="6">
        <v>185.79081509665801</v>
      </c>
      <c r="G10" s="3">
        <v>67.6845350332094</v>
      </c>
      <c r="H10" s="6">
        <v>138.82069644760699</v>
      </c>
      <c r="I10" s="3">
        <v>6.7734284195008003</v>
      </c>
      <c r="J10" s="6">
        <v>3.02196469956057</v>
      </c>
      <c r="K10" s="3">
        <v>337.67181191416302</v>
      </c>
      <c r="L10" s="6">
        <v>9.8821825881362305E-3</v>
      </c>
      <c r="M10" s="3">
        <v>0.215771425674601</v>
      </c>
      <c r="N10" s="6">
        <v>1556.41611017029</v>
      </c>
      <c r="O10" s="3">
        <v>17.424612849691201</v>
      </c>
      <c r="P10" s="6">
        <v>0.105376823291642</v>
      </c>
      <c r="Q10" s="6">
        <v>98.16</v>
      </c>
      <c r="R10" s="3">
        <v>1.18855392820585E-2</v>
      </c>
      <c r="S10" s="6">
        <v>5.3605174420765902</v>
      </c>
      <c r="T10" s="3">
        <v>381.56047068333601</v>
      </c>
    </row>
    <row r="11" spans="2:20" x14ac:dyDescent="0.35">
      <c r="B11" s="29" t="s">
        <v>159</v>
      </c>
      <c r="C11" s="30">
        <f>SUM(C9:C10)/2</f>
        <v>1867.6105413590949</v>
      </c>
      <c r="D11" s="30">
        <f t="shared" ref="D11:T11" si="1">SUM(D9:D10)/2</f>
        <v>156.81066480428598</v>
      </c>
      <c r="E11" s="30">
        <f t="shared" si="1"/>
        <v>399.29101132820301</v>
      </c>
      <c r="F11" s="30">
        <f t="shared" si="1"/>
        <v>169.19336631927001</v>
      </c>
      <c r="G11" s="30">
        <f t="shared" si="1"/>
        <v>78.891926485695592</v>
      </c>
      <c r="H11" s="30">
        <f t="shared" si="1"/>
        <v>151.17765796153049</v>
      </c>
      <c r="I11" s="30">
        <f t="shared" si="1"/>
        <v>12.06000065709495</v>
      </c>
      <c r="J11" s="30">
        <f t="shared" si="1"/>
        <v>3.1801976391579649</v>
      </c>
      <c r="K11" s="30">
        <f t="shared" si="1"/>
        <v>356.69891219798302</v>
      </c>
      <c r="L11" s="30">
        <f t="shared" si="1"/>
        <v>0.10733740066733011</v>
      </c>
      <c r="M11" s="30">
        <f t="shared" si="1"/>
        <v>3.8994128598202304</v>
      </c>
      <c r="N11" s="30">
        <f t="shared" si="1"/>
        <v>1417.96649497618</v>
      </c>
      <c r="O11" s="30">
        <f t="shared" si="1"/>
        <v>18.354916097245351</v>
      </c>
      <c r="P11" s="30">
        <f t="shared" si="1"/>
        <v>9.2571824172261091E-2</v>
      </c>
      <c r="Q11" s="30">
        <f t="shared" si="1"/>
        <v>102.8095</v>
      </c>
      <c r="R11" s="30">
        <f t="shared" si="1"/>
        <v>2.2466619029413451E-2</v>
      </c>
      <c r="S11" s="30">
        <f t="shared" si="1"/>
        <v>5.2795065830759906</v>
      </c>
      <c r="T11" s="30">
        <f t="shared" si="1"/>
        <v>383.86438175923001</v>
      </c>
    </row>
    <row r="12" spans="2:20" x14ac:dyDescent="0.35">
      <c r="B12" s="2" t="s">
        <v>153</v>
      </c>
      <c r="C12" s="3">
        <v>773.324953430714</v>
      </c>
      <c r="D12" s="6">
        <v>98.184205110276693</v>
      </c>
      <c r="E12" s="3">
        <v>134.89678763049599</v>
      </c>
      <c r="F12" s="6">
        <v>28.231224035603599</v>
      </c>
      <c r="G12" s="3">
        <v>77.519973674051101</v>
      </c>
      <c r="H12" s="6">
        <v>123.501876414096</v>
      </c>
      <c r="I12" s="3">
        <v>17.252483226846401</v>
      </c>
      <c r="J12" s="6">
        <v>1.5511973096674401</v>
      </c>
      <c r="K12" s="3">
        <v>133.92188847207299</v>
      </c>
      <c r="L12" s="6">
        <v>0.14443229831007801</v>
      </c>
      <c r="M12" s="3">
        <v>5.2282406390625598</v>
      </c>
      <c r="N12" s="6">
        <v>79.531844909864901</v>
      </c>
      <c r="O12" s="3">
        <v>8.4680173696145307</v>
      </c>
      <c r="P12" s="6">
        <v>3.8966581124102999E-2</v>
      </c>
      <c r="Q12" s="6">
        <v>10.59</v>
      </c>
      <c r="R12" s="3">
        <v>1.3529703666513401E-2</v>
      </c>
      <c r="S12" s="6">
        <v>4.0182306737512299</v>
      </c>
      <c r="T12" s="3">
        <v>87.868843766584902</v>
      </c>
    </row>
    <row r="13" spans="2:20" x14ac:dyDescent="0.35">
      <c r="B13" s="2" t="s">
        <v>154</v>
      </c>
      <c r="C13" s="3">
        <v>764.73222246280898</v>
      </c>
      <c r="D13" s="6">
        <v>117.701502016859</v>
      </c>
      <c r="E13" s="3">
        <v>149.92392814968301</v>
      </c>
      <c r="F13" s="6">
        <v>184.97774577391399</v>
      </c>
      <c r="G13" s="3">
        <v>65.850107200006093</v>
      </c>
      <c r="H13" s="6">
        <v>137.32771001243799</v>
      </c>
      <c r="I13" s="3">
        <v>6.2580381930111804</v>
      </c>
      <c r="J13" s="6">
        <v>1.1680855325430199</v>
      </c>
      <c r="K13" s="3">
        <v>110.076587343112</v>
      </c>
      <c r="L13" s="6" t="s">
        <v>32</v>
      </c>
      <c r="M13" s="3">
        <v>0.91373751374397405</v>
      </c>
      <c r="N13" s="6">
        <v>218.42575439919401</v>
      </c>
      <c r="O13" s="3">
        <v>11.4787238809451</v>
      </c>
      <c r="P13" s="6">
        <v>5.6657911670251797E-2</v>
      </c>
      <c r="Q13" s="6">
        <v>16.291</v>
      </c>
      <c r="R13" s="3">
        <v>1.40560716583815E-2</v>
      </c>
      <c r="S13" s="6">
        <v>3.8171219378708101</v>
      </c>
      <c r="T13" s="3">
        <v>108.101914491383</v>
      </c>
    </row>
    <row r="14" spans="2:20" x14ac:dyDescent="0.35">
      <c r="B14" s="29" t="s">
        <v>162</v>
      </c>
      <c r="C14" s="30">
        <f>SUM(C12:C13)/2</f>
        <v>769.02858794676149</v>
      </c>
      <c r="D14" s="30">
        <f t="shared" ref="D14:T14" si="2">SUM(D12:D13)/2</f>
        <v>107.94285356356784</v>
      </c>
      <c r="E14" s="30">
        <f t="shared" si="2"/>
        <v>142.4103578900895</v>
      </c>
      <c r="F14" s="30">
        <f t="shared" si="2"/>
        <v>106.60448490475879</v>
      </c>
      <c r="G14" s="30">
        <f t="shared" si="2"/>
        <v>71.68504043702859</v>
      </c>
      <c r="H14" s="30">
        <f t="shared" si="2"/>
        <v>130.41479321326699</v>
      </c>
      <c r="I14" s="30">
        <f t="shared" si="2"/>
        <v>11.755260709928791</v>
      </c>
      <c r="J14" s="30">
        <f t="shared" si="2"/>
        <v>1.3596414211052301</v>
      </c>
      <c r="K14" s="30">
        <f t="shared" si="2"/>
        <v>121.99923790759249</v>
      </c>
      <c r="L14" s="30">
        <f t="shared" si="2"/>
        <v>7.2216149155039003E-2</v>
      </c>
      <c r="M14" s="30">
        <f t="shared" si="2"/>
        <v>3.0709890764032668</v>
      </c>
      <c r="N14" s="30">
        <f t="shared" si="2"/>
        <v>148.97879965452944</v>
      </c>
      <c r="O14" s="30">
        <f t="shared" si="2"/>
        <v>9.9733706252798164</v>
      </c>
      <c r="P14" s="30">
        <f t="shared" si="2"/>
        <v>4.7812246397177398E-2</v>
      </c>
      <c r="Q14" s="30">
        <f t="shared" si="2"/>
        <v>13.4405</v>
      </c>
      <c r="R14" s="30">
        <f t="shared" si="2"/>
        <v>1.3792887662447451E-2</v>
      </c>
      <c r="S14" s="30">
        <f t="shared" si="2"/>
        <v>3.9176763058110202</v>
      </c>
      <c r="T14" s="30">
        <f t="shared" si="2"/>
        <v>97.985379128983951</v>
      </c>
    </row>
    <row r="15" spans="2:20" x14ac:dyDescent="0.35">
      <c r="B15" s="2" t="s">
        <v>131</v>
      </c>
      <c r="C15" s="3">
        <v>448.61975763472498</v>
      </c>
      <c r="D15" s="6">
        <v>101.173672668303</v>
      </c>
      <c r="E15" s="3">
        <v>93.189270153409694</v>
      </c>
      <c r="F15" s="6">
        <v>195.67780100818001</v>
      </c>
      <c r="G15" s="3">
        <v>48.131195188244597</v>
      </c>
      <c r="H15" s="6">
        <v>78.164536239433204</v>
      </c>
      <c r="I15" s="3">
        <v>4.4211138029661301</v>
      </c>
      <c r="J15" s="6">
        <v>0.70827355278266602</v>
      </c>
      <c r="K15" s="3">
        <v>67.546400054828396</v>
      </c>
      <c r="L15" s="6">
        <v>3.3852826315463602E-2</v>
      </c>
      <c r="M15" s="3">
        <v>0.97309335903409699</v>
      </c>
      <c r="N15" s="6">
        <v>29.553223728031298</v>
      </c>
      <c r="O15" s="3">
        <v>13.224097273290299</v>
      </c>
      <c r="P15" s="6">
        <v>1.8143908595699899E-2</v>
      </c>
      <c r="Q15" s="6">
        <v>4.5069999999999997</v>
      </c>
      <c r="R15" s="3">
        <v>1.6996960511987898E-2</v>
      </c>
      <c r="S15" s="6">
        <v>3.1630449043294302</v>
      </c>
      <c r="T15" s="3">
        <v>60.979785942745799</v>
      </c>
    </row>
    <row r="16" spans="2:20" x14ac:dyDescent="0.35">
      <c r="B16" s="2" t="s">
        <v>129</v>
      </c>
      <c r="C16" s="3">
        <v>478.54912896977902</v>
      </c>
      <c r="D16" s="6">
        <v>112.54331468105001</v>
      </c>
      <c r="E16" s="3">
        <v>98.144336766881594</v>
      </c>
      <c r="F16" s="6">
        <v>195.035919118533</v>
      </c>
      <c r="G16" s="3">
        <v>42.8352195104763</v>
      </c>
      <c r="H16" s="6">
        <v>82.114342959754396</v>
      </c>
      <c r="I16" s="3">
        <v>12.650651609596901</v>
      </c>
      <c r="J16" s="6">
        <v>2.1625395414854101</v>
      </c>
      <c r="K16" s="3">
        <v>117.396193059334</v>
      </c>
      <c r="L16" s="6">
        <v>0.123008085453378</v>
      </c>
      <c r="M16" s="3">
        <v>11.1295066442554</v>
      </c>
      <c r="N16" s="6">
        <v>32.684839177349197</v>
      </c>
      <c r="O16" s="3">
        <v>14.4404923379347</v>
      </c>
      <c r="P16" s="6">
        <v>4.7946678146324001E-2</v>
      </c>
      <c r="Q16" s="6">
        <v>4.6959999999999997</v>
      </c>
      <c r="R16" s="3">
        <v>1.4509531743563101E-2</v>
      </c>
      <c r="S16" s="6">
        <v>3.19051654389754</v>
      </c>
      <c r="T16" s="3">
        <v>67.788847811648395</v>
      </c>
    </row>
    <row r="17" spans="1:20" x14ac:dyDescent="0.35">
      <c r="B17" s="32" t="s">
        <v>160</v>
      </c>
      <c r="C17" s="33">
        <f>SUM(C15:C16)/2</f>
        <v>463.584443302252</v>
      </c>
      <c r="D17" s="33">
        <f t="shared" ref="D17:T17" si="3">SUM(D15:D16)/2</f>
        <v>106.85849367467651</v>
      </c>
      <c r="E17" s="33">
        <f t="shared" si="3"/>
        <v>95.666803460145644</v>
      </c>
      <c r="F17" s="33">
        <f t="shared" si="3"/>
        <v>195.35686006335652</v>
      </c>
      <c r="G17" s="33">
        <f t="shared" si="3"/>
        <v>45.483207349360448</v>
      </c>
      <c r="H17" s="33">
        <f t="shared" si="3"/>
        <v>80.1394395995938</v>
      </c>
      <c r="I17" s="33">
        <f t="shared" si="3"/>
        <v>8.5358827062815159</v>
      </c>
      <c r="J17" s="33">
        <f t="shared" si="3"/>
        <v>1.435406547134038</v>
      </c>
      <c r="K17" s="33">
        <f t="shared" si="3"/>
        <v>92.471296557081189</v>
      </c>
      <c r="L17" s="33">
        <f t="shared" si="3"/>
        <v>7.8430455884420797E-2</v>
      </c>
      <c r="M17" s="33">
        <f t="shared" si="3"/>
        <v>6.0513000016447487</v>
      </c>
      <c r="N17" s="33">
        <f t="shared" si="3"/>
        <v>31.119031452690248</v>
      </c>
      <c r="O17" s="33">
        <f t="shared" si="3"/>
        <v>13.832294805612499</v>
      </c>
      <c r="P17" s="33">
        <f t="shared" si="3"/>
        <v>3.3045293371011947E-2</v>
      </c>
      <c r="Q17" s="33">
        <f t="shared" si="3"/>
        <v>4.6014999999999997</v>
      </c>
      <c r="R17" s="33">
        <f t="shared" si="3"/>
        <v>1.5753246127775501E-2</v>
      </c>
      <c r="S17" s="33">
        <f t="shared" si="3"/>
        <v>3.1767807241134851</v>
      </c>
      <c r="T17" s="33">
        <f t="shared" si="3"/>
        <v>64.384316877197094</v>
      </c>
    </row>
    <row r="18" spans="1:20" x14ac:dyDescent="0.35">
      <c r="B18" s="2" t="s">
        <v>130</v>
      </c>
      <c r="C18" s="3">
        <v>674.58555788344097</v>
      </c>
      <c r="D18" s="6">
        <v>57.387370774607497</v>
      </c>
      <c r="E18" s="3">
        <v>159.75307942666399</v>
      </c>
      <c r="F18" s="6">
        <v>212.412355580069</v>
      </c>
      <c r="G18" s="3">
        <v>30.219652790757699</v>
      </c>
      <c r="H18" s="6">
        <v>62.510599736342002</v>
      </c>
      <c r="I18" s="3">
        <v>6.3141889234401098</v>
      </c>
      <c r="J18" s="6">
        <v>1.7973615997418599</v>
      </c>
      <c r="K18" s="3">
        <v>199.68970162285399</v>
      </c>
      <c r="L18" s="6">
        <v>9.7252236441516898E-2</v>
      </c>
      <c r="M18" s="3">
        <v>3.5099137876010502</v>
      </c>
      <c r="N18" s="6">
        <v>715.47448011339497</v>
      </c>
      <c r="O18" s="3">
        <v>16.236987102905001</v>
      </c>
      <c r="P18" s="6">
        <v>6.4437755716241898E-2</v>
      </c>
      <c r="Q18" s="6">
        <v>72.578999999999994</v>
      </c>
      <c r="R18" s="3">
        <v>2.0679350862147401E-2</v>
      </c>
      <c r="S18" s="6">
        <v>3.6432985845828298</v>
      </c>
      <c r="T18" s="3">
        <v>227.45943152608001</v>
      </c>
    </row>
    <row r="19" spans="1:20" x14ac:dyDescent="0.35">
      <c r="B19" s="2" t="s">
        <v>133</v>
      </c>
      <c r="C19" s="3">
        <v>1774.3678274378101</v>
      </c>
      <c r="D19" s="6">
        <v>137.6503554352</v>
      </c>
      <c r="E19" s="3">
        <v>316.00260526548101</v>
      </c>
      <c r="F19" s="6">
        <v>45.189927996200197</v>
      </c>
      <c r="G19" s="3">
        <v>80.224751906264203</v>
      </c>
      <c r="H19" s="6">
        <v>147.58175915487999</v>
      </c>
      <c r="I19" s="3">
        <v>7.2692348412773802</v>
      </c>
      <c r="J19" s="6">
        <v>2.5673149822712702</v>
      </c>
      <c r="K19" s="3">
        <v>296.26336776244301</v>
      </c>
      <c r="L19" s="6">
        <v>4.37632417993572E-2</v>
      </c>
      <c r="M19" s="3">
        <v>0.60311303020227902</v>
      </c>
      <c r="N19" s="6">
        <v>822.16169041871399</v>
      </c>
      <c r="O19" s="3">
        <v>17.483951179049601</v>
      </c>
      <c r="P19" s="6">
        <v>8.5404084184132201E-2</v>
      </c>
      <c r="Q19" s="6">
        <v>131.85900000000001</v>
      </c>
      <c r="R19" s="3">
        <v>6.5029510122390499E-3</v>
      </c>
      <c r="S19" s="6">
        <v>2.9421475628687799</v>
      </c>
      <c r="T19" s="3">
        <v>467.56777918212498</v>
      </c>
    </row>
    <row r="20" spans="1:20" x14ac:dyDescent="0.35">
      <c r="B20" s="32" t="s">
        <v>161</v>
      </c>
      <c r="C20" s="33">
        <f>SUM(C18:C19)/2</f>
        <v>1224.4766926606255</v>
      </c>
      <c r="D20" s="33">
        <f t="shared" ref="D20:T20" si="4">SUM(D18:D19)/2</f>
        <v>97.518863104903744</v>
      </c>
      <c r="E20" s="33">
        <f t="shared" si="4"/>
        <v>237.8778423460725</v>
      </c>
      <c r="F20" s="33">
        <f t="shared" si="4"/>
        <v>128.8011417881346</v>
      </c>
      <c r="G20" s="33">
        <f t="shared" si="4"/>
        <v>55.222202348510947</v>
      </c>
      <c r="H20" s="33">
        <f t="shared" si="4"/>
        <v>105.04617944561099</v>
      </c>
      <c r="I20" s="33">
        <f t="shared" si="4"/>
        <v>6.7917118823587455</v>
      </c>
      <c r="J20" s="33">
        <f t="shared" si="4"/>
        <v>2.1823382910065652</v>
      </c>
      <c r="K20" s="33">
        <f t="shared" si="4"/>
        <v>247.9765346926485</v>
      </c>
      <c r="L20" s="33">
        <f t="shared" si="4"/>
        <v>7.0507739120437049E-2</v>
      </c>
      <c r="M20" s="33">
        <f t="shared" si="4"/>
        <v>2.0565134089016648</v>
      </c>
      <c r="N20" s="33">
        <f t="shared" si="4"/>
        <v>768.81808526605448</v>
      </c>
      <c r="O20" s="33">
        <f t="shared" si="4"/>
        <v>16.860469140977301</v>
      </c>
      <c r="P20" s="33">
        <f t="shared" si="4"/>
        <v>7.4920919950187043E-2</v>
      </c>
      <c r="Q20" s="33">
        <f t="shared" si="4"/>
        <v>102.21899999999999</v>
      </c>
      <c r="R20" s="33">
        <f t="shared" si="4"/>
        <v>1.3591150937193226E-2</v>
      </c>
      <c r="S20" s="33">
        <f t="shared" si="4"/>
        <v>3.2927230737258046</v>
      </c>
      <c r="T20" s="33">
        <f t="shared" si="4"/>
        <v>347.51360535410248</v>
      </c>
    </row>
    <row r="22" spans="1:20" x14ac:dyDescent="0.35">
      <c r="B22" s="23" t="s">
        <v>28</v>
      </c>
      <c r="C22" s="23" t="s">
        <v>113</v>
      </c>
      <c r="D22" s="23" t="s">
        <v>14</v>
      </c>
      <c r="E22" s="23" t="s">
        <v>76</v>
      </c>
      <c r="F22" s="23" t="s">
        <v>53</v>
      </c>
      <c r="G22" s="23" t="s">
        <v>17</v>
      </c>
      <c r="H22" s="23" t="s">
        <v>22</v>
      </c>
      <c r="I22" s="23" t="s">
        <v>95</v>
      </c>
      <c r="J22" s="23" t="s">
        <v>21</v>
      </c>
      <c r="K22" s="23" t="s">
        <v>87</v>
      </c>
      <c r="L22" s="23" t="s">
        <v>71</v>
      </c>
      <c r="M22" s="23" t="s">
        <v>52</v>
      </c>
      <c r="N22" s="23" t="s">
        <v>79</v>
      </c>
      <c r="O22" s="23" t="s">
        <v>78</v>
      </c>
      <c r="P22" s="23" t="s">
        <v>1</v>
      </c>
      <c r="Q22" s="23" t="s">
        <v>156</v>
      </c>
      <c r="R22" s="23" t="s">
        <v>92</v>
      </c>
      <c r="S22" s="23" t="s">
        <v>33</v>
      </c>
      <c r="T22" s="23" t="s">
        <v>122</v>
      </c>
    </row>
    <row r="23" spans="1:20" x14ac:dyDescent="0.35">
      <c r="B23" s="1" t="s">
        <v>106</v>
      </c>
      <c r="C23" s="1" t="s">
        <v>49</v>
      </c>
      <c r="D23" s="1" t="s">
        <v>49</v>
      </c>
      <c r="E23" s="1" t="s">
        <v>49</v>
      </c>
      <c r="F23" s="1" t="s">
        <v>49</v>
      </c>
      <c r="G23" s="1" t="s">
        <v>49</v>
      </c>
      <c r="H23" s="1" t="s">
        <v>49</v>
      </c>
      <c r="I23" s="1" t="s">
        <v>49</v>
      </c>
      <c r="J23" s="1" t="s">
        <v>49</v>
      </c>
      <c r="K23" s="1" t="s">
        <v>49</v>
      </c>
      <c r="L23" s="1" t="s">
        <v>49</v>
      </c>
      <c r="M23" s="1" t="s">
        <v>49</v>
      </c>
      <c r="N23" s="1" t="s">
        <v>49</v>
      </c>
      <c r="O23" s="1" t="s">
        <v>49</v>
      </c>
      <c r="P23" s="1" t="s">
        <v>49</v>
      </c>
      <c r="Q23" s="1" t="s">
        <v>49</v>
      </c>
      <c r="R23" s="1" t="s">
        <v>49</v>
      </c>
      <c r="S23" s="1" t="s">
        <v>49</v>
      </c>
      <c r="T23" s="1" t="s">
        <v>49</v>
      </c>
    </row>
    <row r="24" spans="1:20" x14ac:dyDescent="0.35">
      <c r="A24" s="47" t="s">
        <v>149</v>
      </c>
      <c r="B24" s="2" t="s">
        <v>16</v>
      </c>
      <c r="C24" s="3">
        <v>46.589501274952902</v>
      </c>
      <c r="D24" s="6">
        <v>18.661662973584701</v>
      </c>
      <c r="E24" s="3">
        <v>33.742086164256399</v>
      </c>
      <c r="F24" s="6">
        <v>6.5144366328569596</v>
      </c>
      <c r="G24" s="3">
        <v>16.715118475144902</v>
      </c>
      <c r="H24" s="6">
        <v>28.997453128923301</v>
      </c>
      <c r="I24" s="3">
        <v>9.2176805008382505</v>
      </c>
      <c r="J24" s="6">
        <v>0.67965171399327096</v>
      </c>
      <c r="K24" s="3">
        <v>61.470290968413003</v>
      </c>
      <c r="L24" s="6" t="s">
        <v>32</v>
      </c>
      <c r="M24" s="3">
        <v>7.2656192719717998</v>
      </c>
      <c r="N24" s="6">
        <v>124.771842997498</v>
      </c>
      <c r="O24" s="3">
        <v>4.95886240557512</v>
      </c>
      <c r="P24" s="6">
        <v>8.0063388921143997E-3</v>
      </c>
      <c r="Q24" s="6">
        <v>1.577</v>
      </c>
      <c r="R24" s="3" t="s">
        <v>32</v>
      </c>
      <c r="S24" s="6">
        <v>0.14200265014960201</v>
      </c>
      <c r="T24" s="3">
        <v>0.83457078783521099</v>
      </c>
    </row>
    <row r="25" spans="1:20" x14ac:dyDescent="0.35">
      <c r="A25" s="47"/>
      <c r="B25" s="2" t="s">
        <v>70</v>
      </c>
      <c r="C25" s="3">
        <v>37.314321776407198</v>
      </c>
      <c r="D25" s="6">
        <v>20.125766048299401</v>
      </c>
      <c r="E25" s="3">
        <v>41.937179343885198</v>
      </c>
      <c r="F25" s="6">
        <v>3.8099574214087801</v>
      </c>
      <c r="G25" s="3">
        <v>5.9348058754640096</v>
      </c>
      <c r="H25" s="6">
        <v>13.906147046165501</v>
      </c>
      <c r="I25" s="3">
        <v>11.3099629834739</v>
      </c>
      <c r="J25" s="6">
        <v>0.78620809922333401</v>
      </c>
      <c r="K25" s="3">
        <v>68.402260477083502</v>
      </c>
      <c r="L25" s="6" t="s">
        <v>32</v>
      </c>
      <c r="M25" s="3">
        <v>9.1990696962722804</v>
      </c>
      <c r="N25" s="6">
        <v>148.73959938907299</v>
      </c>
      <c r="O25" s="3">
        <v>5.1762954500374203</v>
      </c>
      <c r="P25" s="6">
        <v>2.7156248068611302E-2</v>
      </c>
      <c r="Q25" s="6">
        <v>0.82199999999999995</v>
      </c>
      <c r="R25" s="3" t="s">
        <v>32</v>
      </c>
      <c r="S25" s="6">
        <v>0.111264356346612</v>
      </c>
      <c r="T25" s="3">
        <v>1.97389664849691</v>
      </c>
    </row>
    <row r="26" spans="1:20" x14ac:dyDescent="0.35">
      <c r="A26" s="47"/>
      <c r="B26" s="2" t="s">
        <v>118</v>
      </c>
      <c r="C26" s="3">
        <v>37.623413471819802</v>
      </c>
      <c r="D26" s="6">
        <v>18.609878969708699</v>
      </c>
      <c r="E26" s="3">
        <v>43.957227935975801</v>
      </c>
      <c r="F26" s="6">
        <v>4.5674190819456104</v>
      </c>
      <c r="G26" s="3">
        <v>9.61263536401575</v>
      </c>
      <c r="H26" s="6">
        <v>18.915414855803999</v>
      </c>
      <c r="I26" s="3">
        <v>10.3105878668934</v>
      </c>
      <c r="J26" s="6">
        <v>0.73317605853354395</v>
      </c>
      <c r="K26" s="3">
        <v>59.186151519373603</v>
      </c>
      <c r="L26" s="6">
        <v>1.9641325870882399E-2</v>
      </c>
      <c r="M26" s="3">
        <v>8.33530052946133</v>
      </c>
      <c r="N26" s="6">
        <v>155.404080822482</v>
      </c>
      <c r="O26" s="3">
        <v>8.6976471312925998</v>
      </c>
      <c r="P26" s="6">
        <v>1.07411374902226E-2</v>
      </c>
      <c r="Q26" s="6">
        <v>1.1146</v>
      </c>
      <c r="R26" s="3" t="s">
        <v>32</v>
      </c>
      <c r="S26" s="6">
        <v>0.13112487820971999</v>
      </c>
      <c r="T26" s="3">
        <v>6.6036545190159996</v>
      </c>
    </row>
    <row r="27" spans="1:20" x14ac:dyDescent="0.35">
      <c r="A27" s="41" t="s">
        <v>184</v>
      </c>
      <c r="B27" s="29"/>
      <c r="C27" s="30">
        <f t="shared" ref="C27:T27" si="5">SUM(C24:C26)/3</f>
        <v>40.509078841059967</v>
      </c>
      <c r="D27" s="30">
        <f t="shared" si="5"/>
        <v>19.1324359971976</v>
      </c>
      <c r="E27" s="30">
        <f t="shared" si="5"/>
        <v>39.878831148039133</v>
      </c>
      <c r="F27" s="30">
        <f t="shared" si="5"/>
        <v>4.9639377120704502</v>
      </c>
      <c r="G27" s="30">
        <f t="shared" si="5"/>
        <v>10.754186571541554</v>
      </c>
      <c r="H27" s="30">
        <f t="shared" si="5"/>
        <v>20.606338343630934</v>
      </c>
      <c r="I27" s="30">
        <f t="shared" si="5"/>
        <v>10.27941045040185</v>
      </c>
      <c r="J27" s="30">
        <f t="shared" si="5"/>
        <v>0.73301195725004964</v>
      </c>
      <c r="K27" s="30">
        <f t="shared" si="5"/>
        <v>63.019567654956695</v>
      </c>
      <c r="L27" s="30">
        <f t="shared" si="5"/>
        <v>6.5471086236274659E-3</v>
      </c>
      <c r="M27" s="30">
        <f t="shared" si="5"/>
        <v>8.2666631659018037</v>
      </c>
      <c r="N27" s="30">
        <f t="shared" si="5"/>
        <v>142.97184106968433</v>
      </c>
      <c r="O27" s="30">
        <f t="shared" si="5"/>
        <v>6.2776016623017128</v>
      </c>
      <c r="P27" s="30">
        <f t="shared" si="5"/>
        <v>1.5301241483649433E-2</v>
      </c>
      <c r="Q27" s="30">
        <f t="shared" si="5"/>
        <v>1.1712</v>
      </c>
      <c r="R27" s="30">
        <f t="shared" si="5"/>
        <v>0</v>
      </c>
      <c r="S27" s="30">
        <f t="shared" si="5"/>
        <v>0.12813062823531132</v>
      </c>
      <c r="T27" s="30">
        <f t="shared" si="5"/>
        <v>3.13737398511604</v>
      </c>
    </row>
    <row r="28" spans="1:20" x14ac:dyDescent="0.35">
      <c r="A28" s="41" t="s">
        <v>187</v>
      </c>
      <c r="B28" s="29"/>
      <c r="C28" s="30">
        <f t="shared" ref="C28:T28" si="6">(C27/C14)*100</f>
        <v>5.2675647532448222</v>
      </c>
      <c r="D28" s="30">
        <f t="shared" si="6"/>
        <v>17.724597197099719</v>
      </c>
      <c r="E28" s="30">
        <f t="shared" si="6"/>
        <v>28.002760289962268</v>
      </c>
      <c r="F28" s="30">
        <f t="shared" si="6"/>
        <v>4.6564060756967844</v>
      </c>
      <c r="G28" s="30">
        <f t="shared" si="6"/>
        <v>15.001995543252184</v>
      </c>
      <c r="H28" s="30">
        <f t="shared" si="6"/>
        <v>15.800614206345012</v>
      </c>
      <c r="I28" s="30">
        <f t="shared" si="6"/>
        <v>87.445193297326014</v>
      </c>
      <c r="J28" s="30">
        <f t="shared" si="6"/>
        <v>53.912152562562873</v>
      </c>
      <c r="K28" s="30">
        <f t="shared" si="6"/>
        <v>51.6557059993198</v>
      </c>
      <c r="L28" s="30">
        <f t="shared" si="6"/>
        <v>9.0659896716060651</v>
      </c>
      <c r="M28" s="30">
        <f t="shared" si="6"/>
        <v>269.18569100166565</v>
      </c>
      <c r="N28" s="30">
        <f t="shared" si="6"/>
        <v>95.967910468620516</v>
      </c>
      <c r="O28" s="30">
        <f t="shared" si="6"/>
        <v>62.943631578171555</v>
      </c>
      <c r="P28" s="30">
        <f t="shared" si="6"/>
        <v>32.002766313345077</v>
      </c>
      <c r="Q28" s="30">
        <f t="shared" si="6"/>
        <v>8.7139615341691155</v>
      </c>
      <c r="R28" s="30">
        <f t="shared" si="6"/>
        <v>0</v>
      </c>
      <c r="S28" s="30">
        <f t="shared" si="6"/>
        <v>3.2705772053004329</v>
      </c>
      <c r="T28" s="30">
        <f t="shared" si="6"/>
        <v>3.2018797222656339</v>
      </c>
    </row>
    <row r="29" spans="1:20" x14ac:dyDescent="0.35">
      <c r="A29" s="47" t="s">
        <v>147</v>
      </c>
      <c r="B29" s="2" t="s">
        <v>11</v>
      </c>
      <c r="C29" s="3">
        <v>47.964919403489503</v>
      </c>
      <c r="D29" s="6">
        <v>19.8883156398789</v>
      </c>
      <c r="E29" s="3">
        <v>61.227925213091901</v>
      </c>
      <c r="F29" s="6">
        <v>4.7243310596443404</v>
      </c>
      <c r="G29" s="3">
        <v>4.7889658120612797</v>
      </c>
      <c r="H29" s="6">
        <v>16.336134464302599</v>
      </c>
      <c r="I29" s="3">
        <v>10.305683634476299</v>
      </c>
      <c r="J29" s="6">
        <v>0.77628934647067005</v>
      </c>
      <c r="K29" s="3">
        <v>62.7002220890949</v>
      </c>
      <c r="L29" s="6" t="s">
        <v>32</v>
      </c>
      <c r="M29" s="3">
        <v>8.2212295102596595</v>
      </c>
      <c r="N29" s="6">
        <v>77.439895089817298</v>
      </c>
      <c r="O29" s="3">
        <v>4.4422949781409802</v>
      </c>
      <c r="P29" s="6">
        <v>2.1525224481625201E-2</v>
      </c>
      <c r="Q29" s="6">
        <v>4.2000000000000003E-2</v>
      </c>
      <c r="R29" s="3" t="s">
        <v>32</v>
      </c>
      <c r="S29" s="6">
        <v>0.112353245084714</v>
      </c>
      <c r="T29" s="3">
        <v>0.21514016606199601</v>
      </c>
    </row>
    <row r="30" spans="1:20" x14ac:dyDescent="0.35">
      <c r="A30" s="47"/>
      <c r="B30" s="2" t="s">
        <v>108</v>
      </c>
      <c r="C30" s="3">
        <v>39.700889384424599</v>
      </c>
      <c r="D30" s="6">
        <v>18.442496587898098</v>
      </c>
      <c r="E30" s="3">
        <v>63.182812727603803</v>
      </c>
      <c r="F30" s="6">
        <v>4.02500551239239</v>
      </c>
      <c r="G30" s="3">
        <v>4.1177242653375004</v>
      </c>
      <c r="H30" s="6">
        <v>14.3510241732968</v>
      </c>
      <c r="I30" s="3">
        <v>10.078583091612201</v>
      </c>
      <c r="J30" s="6">
        <v>0.785043746109374</v>
      </c>
      <c r="K30" s="3">
        <v>65.191620559112394</v>
      </c>
      <c r="L30" s="6" t="s">
        <v>32</v>
      </c>
      <c r="M30" s="3">
        <v>8.0628420260485107</v>
      </c>
      <c r="N30" s="6">
        <v>79.120281832951306</v>
      </c>
      <c r="O30" s="3">
        <v>3.7675340446542802</v>
      </c>
      <c r="P30" s="6">
        <v>5.6826228184717401E-3</v>
      </c>
      <c r="Q30" s="6">
        <v>7.0000000000000001E-3</v>
      </c>
      <c r="R30" s="3" t="s">
        <v>32</v>
      </c>
      <c r="S30" s="6">
        <v>0.12668189839369001</v>
      </c>
      <c r="T30" s="3">
        <v>3.14596081118024</v>
      </c>
    </row>
    <row r="31" spans="1:20" x14ac:dyDescent="0.35">
      <c r="A31" s="47"/>
      <c r="B31" s="2" t="s">
        <v>10</v>
      </c>
      <c r="C31" s="3">
        <v>71.677118802867199</v>
      </c>
      <c r="D31" s="6">
        <v>23.067737870123299</v>
      </c>
      <c r="E31" s="3">
        <v>54.2545009953499</v>
      </c>
      <c r="F31" s="6">
        <v>10.5793172031251</v>
      </c>
      <c r="G31" s="3">
        <v>19.815401517784299</v>
      </c>
      <c r="H31" s="6">
        <v>42.679410584762699</v>
      </c>
      <c r="I31" s="3">
        <v>9.8786908361578192</v>
      </c>
      <c r="J31" s="6">
        <v>0.80310789676655603</v>
      </c>
      <c r="K31" s="3">
        <v>63.1403729860425</v>
      </c>
      <c r="L31" s="6" t="s">
        <v>32</v>
      </c>
      <c r="M31" s="3">
        <v>8.2327659683134797</v>
      </c>
      <c r="N31" s="6">
        <v>91.315951986325103</v>
      </c>
      <c r="O31" s="3">
        <v>5.6154381681616004</v>
      </c>
      <c r="P31" s="6">
        <v>1.9292969328857799E-2</v>
      </c>
      <c r="Q31" s="6">
        <v>2.1000000000000001E-2</v>
      </c>
      <c r="R31" s="3" t="s">
        <v>32</v>
      </c>
      <c r="S31" s="6">
        <v>8.1353943149850394E-2</v>
      </c>
      <c r="T31" s="3">
        <v>3.66740418622495</v>
      </c>
    </row>
    <row r="32" spans="1:20" x14ac:dyDescent="0.35">
      <c r="A32" s="41" t="s">
        <v>185</v>
      </c>
      <c r="B32" s="29"/>
      <c r="C32" s="30">
        <f>SUM(C29:C31)/3</f>
        <v>53.114309196927103</v>
      </c>
      <c r="D32" s="30">
        <f t="shared" ref="D32:T32" si="7">SUM(D29:D31)/3</f>
        <v>20.466183365966767</v>
      </c>
      <c r="E32" s="30">
        <f t="shared" si="7"/>
        <v>59.555079645348535</v>
      </c>
      <c r="F32" s="30">
        <f t="shared" si="7"/>
        <v>6.4428845917206106</v>
      </c>
      <c r="G32" s="30">
        <f t="shared" si="7"/>
        <v>9.5740305317276935</v>
      </c>
      <c r="H32" s="30">
        <f t="shared" si="7"/>
        <v>24.455523074120702</v>
      </c>
      <c r="I32" s="30">
        <f t="shared" si="7"/>
        <v>10.087652520748772</v>
      </c>
      <c r="J32" s="30">
        <f t="shared" si="7"/>
        <v>0.78814699644886665</v>
      </c>
      <c r="K32" s="30">
        <f t="shared" si="7"/>
        <v>63.677405211416605</v>
      </c>
      <c r="L32" s="30">
        <f t="shared" si="7"/>
        <v>0</v>
      </c>
      <c r="M32" s="30">
        <f t="shared" si="7"/>
        <v>8.1722791682072167</v>
      </c>
      <c r="N32" s="30">
        <f t="shared" si="7"/>
        <v>82.625376303031246</v>
      </c>
      <c r="O32" s="30">
        <f t="shared" si="7"/>
        <v>4.6084223969856204</v>
      </c>
      <c r="P32" s="30">
        <f t="shared" si="7"/>
        <v>1.5500272209651578E-2</v>
      </c>
      <c r="Q32" s="30">
        <f t="shared" si="7"/>
        <v>2.3333333333333334E-2</v>
      </c>
      <c r="R32" s="30">
        <f t="shared" si="7"/>
        <v>0</v>
      </c>
      <c r="S32" s="30">
        <f t="shared" si="7"/>
        <v>0.10679636220941813</v>
      </c>
      <c r="T32" s="30">
        <f t="shared" si="7"/>
        <v>2.3428350544890617</v>
      </c>
    </row>
    <row r="33" spans="1:20" x14ac:dyDescent="0.35">
      <c r="A33" s="41" t="s">
        <v>188</v>
      </c>
      <c r="B33" s="29"/>
      <c r="C33" s="30">
        <f t="shared" ref="C33:T33" si="8">(C32/C14)*100</f>
        <v>6.9066755162818625</v>
      </c>
      <c r="D33" s="30">
        <f t="shared" si="8"/>
        <v>18.960202264723506</v>
      </c>
      <c r="E33" s="30">
        <f t="shared" si="8"/>
        <v>41.819345536166956</v>
      </c>
      <c r="F33" s="30">
        <f t="shared" si="8"/>
        <v>6.0437275199788543</v>
      </c>
      <c r="G33" s="30">
        <f t="shared" si="8"/>
        <v>13.355688262654967</v>
      </c>
      <c r="H33" s="30">
        <f t="shared" si="8"/>
        <v>18.752108155497854</v>
      </c>
      <c r="I33" s="30">
        <f t="shared" si="8"/>
        <v>85.813941261451447</v>
      </c>
      <c r="J33" s="30">
        <f t="shared" si="8"/>
        <v>57.9672687382674</v>
      </c>
      <c r="K33" s="30">
        <f t="shared" si="8"/>
        <v>52.194920479461217</v>
      </c>
      <c r="L33" s="30">
        <f t="shared" si="8"/>
        <v>0</v>
      </c>
      <c r="M33" s="30">
        <f t="shared" si="8"/>
        <v>266.11228385672297</v>
      </c>
      <c r="N33" s="30">
        <f t="shared" si="8"/>
        <v>55.461163933816913</v>
      </c>
      <c r="O33" s="30">
        <f t="shared" si="8"/>
        <v>46.207271043397377</v>
      </c>
      <c r="P33" s="30">
        <f t="shared" si="8"/>
        <v>32.419041935178008</v>
      </c>
      <c r="Q33" s="30">
        <f t="shared" si="8"/>
        <v>0.1736046526046898</v>
      </c>
      <c r="R33" s="30">
        <f t="shared" si="8"/>
        <v>0</v>
      </c>
      <c r="S33" s="30">
        <f t="shared" si="8"/>
        <v>2.7260129187041042</v>
      </c>
      <c r="T33" s="30">
        <f t="shared" si="8"/>
        <v>2.3910047349054486</v>
      </c>
    </row>
    <row r="34" spans="1:20" x14ac:dyDescent="0.35">
      <c r="A34" s="47" t="s">
        <v>148</v>
      </c>
      <c r="B34" s="2" t="s">
        <v>12</v>
      </c>
      <c r="C34" s="3">
        <v>70.572372926380893</v>
      </c>
      <c r="D34" s="6">
        <v>21.415412342783299</v>
      </c>
      <c r="E34" s="3">
        <v>49.512065893980001</v>
      </c>
      <c r="F34" s="6">
        <v>11.5374932841499</v>
      </c>
      <c r="G34" s="3">
        <v>9.1438328023274593</v>
      </c>
      <c r="H34" s="6">
        <v>23.8639980299331</v>
      </c>
      <c r="I34" s="3">
        <v>10.080770959531099</v>
      </c>
      <c r="J34" s="6">
        <v>0.86364284248859802</v>
      </c>
      <c r="K34" s="3">
        <v>65.870642612633702</v>
      </c>
      <c r="L34" s="6" t="s">
        <v>32</v>
      </c>
      <c r="M34" s="3">
        <v>8.4645174820286506</v>
      </c>
      <c r="N34" s="6">
        <v>62.543620093647696</v>
      </c>
      <c r="O34" s="3">
        <v>6.2786597212977497</v>
      </c>
      <c r="P34" s="6">
        <v>1.86402945139163E-2</v>
      </c>
      <c r="Q34" s="6">
        <v>2.9529999999999998</v>
      </c>
      <c r="R34" s="3" t="s">
        <v>32</v>
      </c>
      <c r="S34" s="6">
        <v>0.15900142123732999</v>
      </c>
      <c r="T34" s="3">
        <v>0.61639131302564498</v>
      </c>
    </row>
    <row r="35" spans="1:20" x14ac:dyDescent="0.35">
      <c r="A35" s="47"/>
      <c r="B35" s="2" t="s">
        <v>4</v>
      </c>
      <c r="C35" s="3">
        <v>72.5695422933495</v>
      </c>
      <c r="D35" s="6">
        <v>23.5611778413449</v>
      </c>
      <c r="E35" s="3">
        <v>63.807409024648599</v>
      </c>
      <c r="F35" s="6">
        <v>10.4660657348679</v>
      </c>
      <c r="G35" s="3">
        <v>25.773471609034601</v>
      </c>
      <c r="H35" s="6">
        <v>33.689833619677401</v>
      </c>
      <c r="I35" s="3">
        <v>10.590342004393399</v>
      </c>
      <c r="J35" s="6">
        <v>0.84556924243456899</v>
      </c>
      <c r="K35" s="3">
        <v>55.138168898142197</v>
      </c>
      <c r="L35" s="6" t="s">
        <v>32</v>
      </c>
      <c r="M35" s="3">
        <v>8.5223898338091004</v>
      </c>
      <c r="N35" s="6">
        <v>69.288153675995105</v>
      </c>
      <c r="O35" s="3">
        <v>5.07774416507635</v>
      </c>
      <c r="P35" s="6">
        <v>3.2475383884614198E-2</v>
      </c>
      <c r="Q35" s="6">
        <v>2.7240000000000002</v>
      </c>
      <c r="R35" s="3" t="s">
        <v>32</v>
      </c>
      <c r="S35" s="6">
        <v>9.1921173333620806E-2</v>
      </c>
      <c r="T35" s="3">
        <v>0.89876199817507396</v>
      </c>
    </row>
    <row r="36" spans="1:20" x14ac:dyDescent="0.35">
      <c r="A36" s="47"/>
      <c r="B36" s="2" t="s">
        <v>100</v>
      </c>
      <c r="C36" s="3">
        <v>55.311349903237399</v>
      </c>
      <c r="D36" s="6">
        <v>19.925328058934699</v>
      </c>
      <c r="E36" s="3">
        <v>52.189262578083401</v>
      </c>
      <c r="F36" s="6">
        <v>16.711147084797499</v>
      </c>
      <c r="G36" s="3">
        <v>8.4765814037056106</v>
      </c>
      <c r="H36" s="6">
        <v>23.990238180818501</v>
      </c>
      <c r="I36" s="3">
        <v>10.610062359020301</v>
      </c>
      <c r="J36" s="6">
        <v>0.72584288037834999</v>
      </c>
      <c r="K36" s="3">
        <v>58.463390597806502</v>
      </c>
      <c r="L36" s="6" t="s">
        <v>32</v>
      </c>
      <c r="M36" s="3">
        <v>8.7697466078726301</v>
      </c>
      <c r="N36" s="6">
        <v>46.733759697428802</v>
      </c>
      <c r="O36" s="3">
        <v>5.3352435546463699</v>
      </c>
      <c r="P36" s="6">
        <v>1.61382204994629E-2</v>
      </c>
      <c r="Q36" s="6">
        <v>2.4540000000000002</v>
      </c>
      <c r="R36" s="3" t="s">
        <v>32</v>
      </c>
      <c r="S36" s="6">
        <v>0.123227102309174</v>
      </c>
      <c r="T36" s="3">
        <v>0.72276252480591496</v>
      </c>
    </row>
    <row r="37" spans="1:20" x14ac:dyDescent="0.35">
      <c r="A37" t="s">
        <v>186</v>
      </c>
      <c r="B37" s="33"/>
      <c r="C37" s="33">
        <f>SUM(C34:C36)/3</f>
        <v>66.151088374322583</v>
      </c>
      <c r="D37" s="33">
        <f t="shared" ref="D37:T37" si="9">SUM(D34:D36)/3</f>
        <v>21.633972747687633</v>
      </c>
      <c r="E37" s="33">
        <f t="shared" si="9"/>
        <v>55.169579165570667</v>
      </c>
      <c r="F37" s="33">
        <f t="shared" si="9"/>
        <v>12.904902034605101</v>
      </c>
      <c r="G37" s="33">
        <f t="shared" si="9"/>
        <v>14.464628605022556</v>
      </c>
      <c r="H37" s="33">
        <f t="shared" si="9"/>
        <v>27.181356610143002</v>
      </c>
      <c r="I37" s="33">
        <f t="shared" si="9"/>
        <v>10.4270584409816</v>
      </c>
      <c r="J37" s="33">
        <f t="shared" si="9"/>
        <v>0.81168498843383896</v>
      </c>
      <c r="K37" s="33">
        <f t="shared" si="9"/>
        <v>59.824067369527462</v>
      </c>
      <c r="L37" s="33">
        <f t="shared" si="9"/>
        <v>0</v>
      </c>
      <c r="M37" s="33">
        <f t="shared" si="9"/>
        <v>8.5855513079034598</v>
      </c>
      <c r="N37" s="33">
        <f t="shared" si="9"/>
        <v>59.52184448902387</v>
      </c>
      <c r="O37" s="33">
        <f t="shared" si="9"/>
        <v>5.5638824803401574</v>
      </c>
      <c r="P37" s="33">
        <f t="shared" si="9"/>
        <v>2.241796629933113E-2</v>
      </c>
      <c r="Q37" s="33">
        <f t="shared" si="9"/>
        <v>2.7103333333333333</v>
      </c>
      <c r="R37" s="33">
        <f t="shared" si="9"/>
        <v>0</v>
      </c>
      <c r="S37" s="33">
        <f t="shared" si="9"/>
        <v>0.12471656562670826</v>
      </c>
      <c r="T37" s="33">
        <f t="shared" si="9"/>
        <v>0.74597194533554456</v>
      </c>
    </row>
    <row r="38" spans="1:20" x14ac:dyDescent="0.35">
      <c r="A38" t="s">
        <v>189</v>
      </c>
      <c r="C38">
        <f t="shared" ref="C38:T38" si="10">(C37/C14)*100</f>
        <v>8.6019023754292618</v>
      </c>
      <c r="D38">
        <f t="shared" si="10"/>
        <v>20.042061177257398</v>
      </c>
      <c r="E38">
        <f t="shared" si="10"/>
        <v>38.739864138358421</v>
      </c>
      <c r="F38">
        <f t="shared" si="10"/>
        <v>12.105402550497226</v>
      </c>
      <c r="G38">
        <f t="shared" si="10"/>
        <v>20.178029497980049</v>
      </c>
      <c r="H38">
        <f t="shared" si="10"/>
        <v>20.842234182508264</v>
      </c>
      <c r="I38">
        <f t="shared" si="10"/>
        <v>88.701209596947876</v>
      </c>
      <c r="J38">
        <f t="shared" si="10"/>
        <v>59.698459890552144</v>
      </c>
      <c r="K38">
        <f t="shared" si="10"/>
        <v>49.03642710853719</v>
      </c>
      <c r="L38">
        <f t="shared" si="10"/>
        <v>0</v>
      </c>
      <c r="M38">
        <f t="shared" si="10"/>
        <v>279.56958147043724</v>
      </c>
      <c r="N38">
        <f t="shared" si="10"/>
        <v>39.953231350400543</v>
      </c>
      <c r="O38">
        <f t="shared" si="10"/>
        <v>55.787383116367991</v>
      </c>
      <c r="P38">
        <f t="shared" si="10"/>
        <v>46.887498472890364</v>
      </c>
      <c r="Q38">
        <f t="shared" si="10"/>
        <v>20.165420433267613</v>
      </c>
      <c r="R38">
        <f t="shared" si="10"/>
        <v>0</v>
      </c>
      <c r="S38">
        <f t="shared" si="10"/>
        <v>3.1834321136158792</v>
      </c>
      <c r="T38">
        <f t="shared" si="10"/>
        <v>0.76130944429329361</v>
      </c>
    </row>
    <row r="39" spans="1:20" x14ac:dyDescent="0.35">
      <c r="C39" t="s">
        <v>149</v>
      </c>
      <c r="D39">
        <v>95.967910468620516</v>
      </c>
    </row>
    <row r="40" spans="1:20" x14ac:dyDescent="0.35">
      <c r="C40" t="s">
        <v>147</v>
      </c>
      <c r="D40">
        <v>55.461163933816913</v>
      </c>
    </row>
    <row r="41" spans="1:20" x14ac:dyDescent="0.35">
      <c r="C41" t="s">
        <v>148</v>
      </c>
      <c r="D41">
        <v>39.953231350400543</v>
      </c>
    </row>
  </sheetData>
  <mergeCells count="3">
    <mergeCell ref="A24:A26"/>
    <mergeCell ref="A34:A36"/>
    <mergeCell ref="A29:A3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459B-A4BC-4517-8A97-EED08156908B}">
  <dimension ref="A1:S29"/>
  <sheetViews>
    <sheetView topLeftCell="A6" workbookViewId="0">
      <selection activeCell="W24" sqref="W24"/>
    </sheetView>
  </sheetViews>
  <sheetFormatPr defaultRowHeight="14.5" x14ac:dyDescent="0.35"/>
  <cols>
    <col min="1" max="1" width="13.6328125" customWidth="1"/>
  </cols>
  <sheetData>
    <row r="1" spans="1:19" x14ac:dyDescent="0.35">
      <c r="A1" s="23" t="s">
        <v>28</v>
      </c>
      <c r="B1" s="23" t="s">
        <v>113</v>
      </c>
      <c r="C1" s="23" t="s">
        <v>14</v>
      </c>
      <c r="D1" s="23" t="s">
        <v>76</v>
      </c>
      <c r="E1" s="23" t="s">
        <v>53</v>
      </c>
      <c r="F1" s="23" t="s">
        <v>17</v>
      </c>
      <c r="G1" s="23" t="s">
        <v>22</v>
      </c>
      <c r="H1" s="23" t="s">
        <v>95</v>
      </c>
      <c r="I1" s="23" t="s">
        <v>21</v>
      </c>
      <c r="J1" s="23" t="s">
        <v>87</v>
      </c>
      <c r="K1" s="23" t="s">
        <v>71</v>
      </c>
      <c r="L1" s="23" t="s">
        <v>52</v>
      </c>
      <c r="M1" s="23" t="s">
        <v>79</v>
      </c>
      <c r="N1" s="23" t="s">
        <v>78</v>
      </c>
      <c r="O1" s="23" t="s">
        <v>1</v>
      </c>
      <c r="P1" s="23" t="s">
        <v>156</v>
      </c>
      <c r="Q1" s="23" t="s">
        <v>92</v>
      </c>
      <c r="R1" s="23" t="s">
        <v>33</v>
      </c>
      <c r="S1" s="23" t="s">
        <v>122</v>
      </c>
    </row>
    <row r="2" spans="1:19" x14ac:dyDescent="0.35">
      <c r="A2" s="1" t="s">
        <v>106</v>
      </c>
      <c r="B2" s="1" t="s">
        <v>49</v>
      </c>
      <c r="C2" s="1" t="s">
        <v>49</v>
      </c>
      <c r="D2" s="1" t="s">
        <v>49</v>
      </c>
      <c r="E2" s="1" t="s">
        <v>49</v>
      </c>
      <c r="F2" s="1" t="s">
        <v>49</v>
      </c>
      <c r="G2" s="1" t="s">
        <v>49</v>
      </c>
      <c r="H2" s="1" t="s">
        <v>49</v>
      </c>
      <c r="I2" s="1" t="s">
        <v>49</v>
      </c>
      <c r="J2" s="1" t="s">
        <v>49</v>
      </c>
      <c r="K2" s="1" t="s">
        <v>49</v>
      </c>
      <c r="L2" s="1" t="s">
        <v>49</v>
      </c>
      <c r="M2" s="1" t="s">
        <v>49</v>
      </c>
      <c r="N2" s="1" t="s">
        <v>49</v>
      </c>
      <c r="O2" s="1" t="s">
        <v>49</v>
      </c>
      <c r="P2" s="1" t="s">
        <v>49</v>
      </c>
      <c r="Q2" s="1" t="s">
        <v>49</v>
      </c>
      <c r="R2" s="1" t="s">
        <v>49</v>
      </c>
      <c r="S2" s="1" t="s">
        <v>49</v>
      </c>
    </row>
    <row r="3" spans="1:19" x14ac:dyDescent="0.35">
      <c r="A3" s="2"/>
      <c r="B3" s="3">
        <v>444.004757212752</v>
      </c>
      <c r="C3" s="6">
        <v>109.087232989214</v>
      </c>
      <c r="D3" s="3">
        <v>882.96742215840902</v>
      </c>
      <c r="E3" s="6">
        <v>140.0727213863</v>
      </c>
      <c r="F3" s="3">
        <v>80.759174676727696</v>
      </c>
      <c r="G3" s="6">
        <v>116.10714095732401</v>
      </c>
      <c r="H3" s="3">
        <v>3.5906034639275402</v>
      </c>
      <c r="I3" s="6">
        <v>0.86877883755468599</v>
      </c>
      <c r="J3" s="3">
        <v>56.012155252344201</v>
      </c>
      <c r="K3" s="6">
        <v>1.6584256058902E-3</v>
      </c>
      <c r="L3" s="3" t="s">
        <v>32</v>
      </c>
      <c r="M3" s="6">
        <v>33.236941746425998</v>
      </c>
      <c r="N3" s="3">
        <v>18.383565185046201</v>
      </c>
      <c r="O3" s="6">
        <v>0.20363340227221</v>
      </c>
      <c r="P3" s="6">
        <v>4.0609999999999999</v>
      </c>
      <c r="Q3" s="3">
        <v>2.9157620681926E-2</v>
      </c>
      <c r="R3" s="6">
        <v>3.0619208183907398</v>
      </c>
      <c r="S3" s="3">
        <v>55.993973833474399</v>
      </c>
    </row>
    <row r="4" spans="1:19" x14ac:dyDescent="0.35">
      <c r="A4" s="2" t="s">
        <v>125</v>
      </c>
      <c r="B4" s="3">
        <v>393.869994417898</v>
      </c>
      <c r="C4" s="6">
        <v>85.273413416655103</v>
      </c>
      <c r="D4" s="3">
        <v>96.740688497506099</v>
      </c>
      <c r="E4" s="6">
        <v>194.24113820833301</v>
      </c>
      <c r="F4" s="3">
        <v>27.3971169903669</v>
      </c>
      <c r="G4" s="6">
        <v>54.060480538540403</v>
      </c>
      <c r="H4" s="3">
        <v>10.2978722151488</v>
      </c>
      <c r="I4" s="6">
        <v>1.67106120325038</v>
      </c>
      <c r="J4" s="3">
        <v>109.874384068826</v>
      </c>
      <c r="K4" s="6">
        <v>0.33984911071810903</v>
      </c>
      <c r="L4" s="3">
        <v>12.4180539220919</v>
      </c>
      <c r="M4" s="6">
        <v>27.9308497348025</v>
      </c>
      <c r="N4" s="3">
        <v>11.679464703300701</v>
      </c>
      <c r="O4" s="6">
        <v>3.3466459384412499E-2</v>
      </c>
      <c r="P4" s="6">
        <v>5.2229999999999999</v>
      </c>
      <c r="Q4" s="3">
        <v>1.65754998157581E-2</v>
      </c>
      <c r="R4" s="6">
        <v>2.99777497179634</v>
      </c>
      <c r="S4" s="3">
        <v>55.467745133869499</v>
      </c>
    </row>
    <row r="5" spans="1:19" x14ac:dyDescent="0.35">
      <c r="A5" s="29" t="s">
        <v>158</v>
      </c>
      <c r="B5" s="30">
        <f>SUM(B3:B4)/2</f>
        <v>418.93737581532503</v>
      </c>
      <c r="C5" s="30">
        <f t="shared" ref="C5:S5" si="0">SUM(C3:C4)/2</f>
        <v>97.180323202934545</v>
      </c>
      <c r="D5" s="30">
        <f t="shared" si="0"/>
        <v>489.85405532795755</v>
      </c>
      <c r="E5" s="30">
        <f t="shared" si="0"/>
        <v>167.15692979731651</v>
      </c>
      <c r="F5" s="30">
        <f t="shared" si="0"/>
        <v>54.078145833547296</v>
      </c>
      <c r="G5" s="30">
        <f t="shared" si="0"/>
        <v>85.083810747932205</v>
      </c>
      <c r="H5" s="30">
        <f t="shared" si="0"/>
        <v>6.9442378395381699</v>
      </c>
      <c r="I5" s="30">
        <f t="shared" si="0"/>
        <v>1.2699200204025329</v>
      </c>
      <c r="J5" s="30">
        <f t="shared" si="0"/>
        <v>82.943269660585102</v>
      </c>
      <c r="K5" s="30">
        <f t="shared" si="0"/>
        <v>0.17075376816199961</v>
      </c>
      <c r="L5" s="30">
        <f t="shared" si="0"/>
        <v>6.2090269610459501</v>
      </c>
      <c r="M5" s="30">
        <f t="shared" si="0"/>
        <v>30.583895740614249</v>
      </c>
      <c r="N5" s="30">
        <f t="shared" si="0"/>
        <v>15.031514944173452</v>
      </c>
      <c r="O5" s="30">
        <f t="shared" si="0"/>
        <v>0.11854993082831125</v>
      </c>
      <c r="P5" s="30">
        <f t="shared" si="0"/>
        <v>4.6419999999999995</v>
      </c>
      <c r="Q5" s="30">
        <f t="shared" si="0"/>
        <v>2.2866560248842052E-2</v>
      </c>
      <c r="R5" s="30">
        <f t="shared" si="0"/>
        <v>3.0298478950935399</v>
      </c>
      <c r="S5" s="30">
        <f t="shared" si="0"/>
        <v>55.730859483671949</v>
      </c>
    </row>
    <row r="6" spans="1:19" x14ac:dyDescent="0.35">
      <c r="A6" s="2" t="s">
        <v>126</v>
      </c>
      <c r="B6" s="3">
        <v>1054.78307651968</v>
      </c>
      <c r="C6" s="6">
        <v>124.37897035973199</v>
      </c>
      <c r="D6" s="3">
        <v>354.67126114382398</v>
      </c>
      <c r="E6" s="6">
        <v>159.337683752071</v>
      </c>
      <c r="F6" s="3">
        <v>100.53484923492501</v>
      </c>
      <c r="G6" s="6">
        <v>206.141990971166</v>
      </c>
      <c r="H6" s="3">
        <v>23.289871642115699</v>
      </c>
      <c r="I6" s="6">
        <v>4.4097559554731998</v>
      </c>
      <c r="J6" s="3">
        <v>266.11714412820299</v>
      </c>
      <c r="K6" s="6">
        <v>0.24073541302762999</v>
      </c>
      <c r="L6" s="3">
        <v>19.2549415326664</v>
      </c>
      <c r="M6" s="6">
        <v>591.33467937520402</v>
      </c>
      <c r="N6" s="3">
        <v>17.8604993538499</v>
      </c>
      <c r="O6" s="6">
        <v>8.2665983485833996E-2</v>
      </c>
      <c r="P6" s="6">
        <v>23.291</v>
      </c>
      <c r="Q6" s="3">
        <v>5.0678994400178298E-2</v>
      </c>
      <c r="R6" s="6">
        <v>4.1670218039589102</v>
      </c>
      <c r="S6" s="3">
        <v>143.60266349369601</v>
      </c>
    </row>
    <row r="7" spans="1:19" x14ac:dyDescent="0.35">
      <c r="A7" s="2" t="s">
        <v>136</v>
      </c>
      <c r="B7" s="3">
        <v>934.86629913701597</v>
      </c>
      <c r="C7" s="6">
        <v>131.370793368677</v>
      </c>
      <c r="D7" s="3">
        <v>210.91926845125201</v>
      </c>
      <c r="E7" s="6">
        <v>214.861276279458</v>
      </c>
      <c r="F7" s="3">
        <v>88.3656150279038</v>
      </c>
      <c r="G7" s="6">
        <v>178.82015347732499</v>
      </c>
      <c r="H7" s="3">
        <v>16.565727319864301</v>
      </c>
      <c r="I7" s="6">
        <v>2.2266494552915401</v>
      </c>
      <c r="J7" s="3">
        <v>180.40240467246699</v>
      </c>
      <c r="K7" s="6">
        <v>0.27374062587953402</v>
      </c>
      <c r="L7" s="3">
        <v>10.7735325619728</v>
      </c>
      <c r="M7" s="6">
        <v>207.602117087419</v>
      </c>
      <c r="N7" s="3">
        <v>11.6648785118236</v>
      </c>
      <c r="O7" s="6">
        <v>4.8148810410426297E-2</v>
      </c>
      <c r="P7" s="6">
        <v>15.186999999999999</v>
      </c>
      <c r="Q7" s="3">
        <v>2.1621708823082401E-2</v>
      </c>
      <c r="R7" s="6">
        <v>6.1112837318315902</v>
      </c>
      <c r="S7" s="3">
        <v>120.402454497995</v>
      </c>
    </row>
    <row r="8" spans="1:19" x14ac:dyDescent="0.35">
      <c r="A8" s="29" t="s">
        <v>157</v>
      </c>
      <c r="B8" s="31">
        <v>994.82468782834803</v>
      </c>
      <c r="C8" s="31">
        <v>127.8748818642045</v>
      </c>
      <c r="D8" s="31">
        <v>282.79526479753798</v>
      </c>
      <c r="E8" s="31">
        <v>187.0994800157645</v>
      </c>
      <c r="F8" s="31">
        <v>94.450232131414396</v>
      </c>
      <c r="G8" s="31">
        <v>192.48107222424551</v>
      </c>
      <c r="H8" s="31">
        <v>19.92779948099</v>
      </c>
      <c r="I8" s="31">
        <v>3.3182027053823697</v>
      </c>
      <c r="J8" s="31">
        <v>223.259774400335</v>
      </c>
      <c r="K8" s="31">
        <v>0.25723801945358199</v>
      </c>
      <c r="L8" s="31">
        <v>15.0142370473196</v>
      </c>
      <c r="M8" s="31">
        <v>399.46839823131154</v>
      </c>
      <c r="N8" s="31">
        <v>14.762688932836749</v>
      </c>
      <c r="O8" s="31">
        <v>6.540739694813015E-2</v>
      </c>
      <c r="P8" s="31">
        <v>19.239000000000001</v>
      </c>
      <c r="Q8" s="31">
        <v>3.6150351611630348E-2</v>
      </c>
      <c r="R8" s="31">
        <v>5.1391527678952507</v>
      </c>
      <c r="S8" s="31">
        <v>132.0025589958455</v>
      </c>
    </row>
    <row r="9" spans="1:19" x14ac:dyDescent="0.35">
      <c r="A9" s="2" t="s">
        <v>155</v>
      </c>
      <c r="B9" s="3">
        <v>1976.12601757991</v>
      </c>
      <c r="C9" s="6">
        <v>168.05605621715699</v>
      </c>
      <c r="D9" s="3">
        <v>412.077735698504</v>
      </c>
      <c r="E9" s="6">
        <v>152.59591754188199</v>
      </c>
      <c r="F9" s="3">
        <v>90.099317938181798</v>
      </c>
      <c r="G9" s="6">
        <v>163.53461947545401</v>
      </c>
      <c r="H9" s="3">
        <v>17.3465728946891</v>
      </c>
      <c r="I9" s="6">
        <v>3.3384305787553599</v>
      </c>
      <c r="J9" s="3">
        <v>375.72601248180302</v>
      </c>
      <c r="K9" s="6">
        <v>0.20479261874652399</v>
      </c>
      <c r="L9" s="3">
        <v>7.5830542939658603</v>
      </c>
      <c r="M9" s="6">
        <v>1279.51687978207</v>
      </c>
      <c r="N9" s="3">
        <v>19.285219344799501</v>
      </c>
      <c r="O9" s="6">
        <v>7.97668250528802E-2</v>
      </c>
      <c r="P9" s="6">
        <v>107.459</v>
      </c>
      <c r="Q9" s="3">
        <v>3.30476987767684E-2</v>
      </c>
      <c r="R9" s="6">
        <v>5.1984957240753902</v>
      </c>
      <c r="S9" s="3">
        <v>386.16829283512402</v>
      </c>
    </row>
    <row r="10" spans="1:19" x14ac:dyDescent="0.35">
      <c r="A10" s="2" t="s">
        <v>127</v>
      </c>
      <c r="B10" s="3">
        <v>1759.09506513828</v>
      </c>
      <c r="C10" s="6">
        <v>145.56527339141499</v>
      </c>
      <c r="D10" s="3">
        <v>386.50428695790202</v>
      </c>
      <c r="E10" s="6">
        <v>185.79081509665801</v>
      </c>
      <c r="F10" s="3">
        <v>67.6845350332094</v>
      </c>
      <c r="G10" s="6">
        <v>138.82069644760699</v>
      </c>
      <c r="H10" s="3">
        <v>6.7734284195008003</v>
      </c>
      <c r="I10" s="6">
        <v>3.02196469956057</v>
      </c>
      <c r="J10" s="3">
        <v>337.67181191416302</v>
      </c>
      <c r="K10" s="6">
        <v>9.8821825881362305E-3</v>
      </c>
      <c r="L10" s="3">
        <v>0.215771425674601</v>
      </c>
      <c r="M10" s="6">
        <v>1556.41611017029</v>
      </c>
      <c r="N10" s="3">
        <v>17.424612849691201</v>
      </c>
      <c r="O10" s="6">
        <v>0.105376823291642</v>
      </c>
      <c r="P10" s="6">
        <v>98.16</v>
      </c>
      <c r="Q10" s="3">
        <v>1.18855392820585E-2</v>
      </c>
      <c r="R10" s="6">
        <v>5.3605174420765902</v>
      </c>
      <c r="S10" s="3">
        <v>381.56047068333601</v>
      </c>
    </row>
    <row r="11" spans="1:19" x14ac:dyDescent="0.35">
      <c r="A11" s="29" t="s">
        <v>159</v>
      </c>
      <c r="B11" s="30">
        <f>SUM(B9:B10)/2</f>
        <v>1867.6105413590949</v>
      </c>
      <c r="C11" s="30">
        <f t="shared" ref="C11:S11" si="1">SUM(C9:C10)/2</f>
        <v>156.81066480428598</v>
      </c>
      <c r="D11" s="30">
        <f t="shared" si="1"/>
        <v>399.29101132820301</v>
      </c>
      <c r="E11" s="30">
        <f t="shared" si="1"/>
        <v>169.19336631927001</v>
      </c>
      <c r="F11" s="30">
        <f t="shared" si="1"/>
        <v>78.891926485695592</v>
      </c>
      <c r="G11" s="30">
        <f t="shared" si="1"/>
        <v>151.17765796153049</v>
      </c>
      <c r="H11" s="30">
        <f t="shared" si="1"/>
        <v>12.06000065709495</v>
      </c>
      <c r="I11" s="30">
        <f t="shared" si="1"/>
        <v>3.1801976391579649</v>
      </c>
      <c r="J11" s="30">
        <f t="shared" si="1"/>
        <v>356.69891219798302</v>
      </c>
      <c r="K11" s="30">
        <f t="shared" si="1"/>
        <v>0.10733740066733011</v>
      </c>
      <c r="L11" s="30">
        <f t="shared" si="1"/>
        <v>3.8994128598202304</v>
      </c>
      <c r="M11" s="30">
        <f t="shared" si="1"/>
        <v>1417.96649497618</v>
      </c>
      <c r="N11" s="30">
        <f t="shared" si="1"/>
        <v>18.354916097245351</v>
      </c>
      <c r="O11" s="30">
        <f t="shared" si="1"/>
        <v>9.2571824172261091E-2</v>
      </c>
      <c r="P11" s="30">
        <f t="shared" si="1"/>
        <v>102.8095</v>
      </c>
      <c r="Q11" s="30">
        <f t="shared" si="1"/>
        <v>2.2466619029413451E-2</v>
      </c>
      <c r="R11" s="30">
        <f t="shared" si="1"/>
        <v>5.2795065830759906</v>
      </c>
      <c r="S11" s="30">
        <f t="shared" si="1"/>
        <v>383.86438175923001</v>
      </c>
    </row>
    <row r="12" spans="1:19" x14ac:dyDescent="0.35">
      <c r="A12" s="2" t="s">
        <v>153</v>
      </c>
      <c r="B12" s="3">
        <v>773.324953430714</v>
      </c>
      <c r="C12" s="6">
        <v>98.184205110276693</v>
      </c>
      <c r="D12" s="3">
        <v>134.89678763049599</v>
      </c>
      <c r="E12" s="6">
        <v>28.231224035603599</v>
      </c>
      <c r="F12" s="3">
        <v>77.519973674051101</v>
      </c>
      <c r="G12" s="6">
        <v>123.501876414096</v>
      </c>
      <c r="H12" s="3">
        <v>17.252483226846401</v>
      </c>
      <c r="I12" s="6">
        <v>1.5511973096674401</v>
      </c>
      <c r="J12" s="3">
        <v>133.92188847207299</v>
      </c>
      <c r="K12" s="6">
        <v>0.14443229831007801</v>
      </c>
      <c r="L12" s="3">
        <v>5.2282406390625598</v>
      </c>
      <c r="M12" s="6">
        <v>79.531844909864901</v>
      </c>
      <c r="N12" s="3">
        <v>8.4680173696145307</v>
      </c>
      <c r="O12" s="6">
        <v>3.8966581124102999E-2</v>
      </c>
      <c r="P12" s="6">
        <v>10.59</v>
      </c>
      <c r="Q12" s="3">
        <v>1.3529703666513401E-2</v>
      </c>
      <c r="R12" s="6">
        <v>4.0182306737512299</v>
      </c>
      <c r="S12" s="3">
        <v>87.868843766584902</v>
      </c>
    </row>
    <row r="13" spans="1:19" x14ac:dyDescent="0.35">
      <c r="A13" s="2" t="s">
        <v>154</v>
      </c>
      <c r="B13" s="3">
        <v>764.73222246280898</v>
      </c>
      <c r="C13" s="6">
        <v>117.701502016859</v>
      </c>
      <c r="D13" s="3">
        <v>149.92392814968301</v>
      </c>
      <c r="E13" s="6">
        <v>184.97774577391399</v>
      </c>
      <c r="F13" s="3">
        <v>65.850107200006093</v>
      </c>
      <c r="G13" s="6">
        <v>137.32771001243799</v>
      </c>
      <c r="H13" s="3">
        <v>6.2580381930111804</v>
      </c>
      <c r="I13" s="6">
        <v>1.1680855325430199</v>
      </c>
      <c r="J13" s="3">
        <v>110.076587343112</v>
      </c>
      <c r="K13" s="6" t="s">
        <v>32</v>
      </c>
      <c r="L13" s="3">
        <v>0.91373751374397405</v>
      </c>
      <c r="M13" s="6">
        <v>218.42575439919401</v>
      </c>
      <c r="N13" s="3">
        <v>11.4787238809451</v>
      </c>
      <c r="O13" s="6">
        <v>5.6657911670251797E-2</v>
      </c>
      <c r="P13" s="6">
        <v>16.291</v>
      </c>
      <c r="Q13" s="3">
        <v>1.40560716583815E-2</v>
      </c>
      <c r="R13" s="6">
        <v>3.8171219378708101</v>
      </c>
      <c r="S13" s="3">
        <v>108.101914491383</v>
      </c>
    </row>
    <row r="14" spans="1:19" x14ac:dyDescent="0.35">
      <c r="A14" s="29" t="s">
        <v>162</v>
      </c>
      <c r="B14" s="30">
        <f>SUM(B12:B13)/2</f>
        <v>769.02858794676149</v>
      </c>
      <c r="C14" s="30">
        <f t="shared" ref="C14:S14" si="2">SUM(C12:C13)/2</f>
        <v>107.94285356356784</v>
      </c>
      <c r="D14" s="30">
        <f t="shared" si="2"/>
        <v>142.4103578900895</v>
      </c>
      <c r="E14" s="30">
        <f t="shared" si="2"/>
        <v>106.60448490475879</v>
      </c>
      <c r="F14" s="30">
        <f t="shared" si="2"/>
        <v>71.68504043702859</v>
      </c>
      <c r="G14" s="30">
        <f t="shared" si="2"/>
        <v>130.41479321326699</v>
      </c>
      <c r="H14" s="30">
        <f t="shared" si="2"/>
        <v>11.755260709928791</v>
      </c>
      <c r="I14" s="30">
        <f t="shared" si="2"/>
        <v>1.3596414211052301</v>
      </c>
      <c r="J14" s="30">
        <f t="shared" si="2"/>
        <v>121.99923790759249</v>
      </c>
      <c r="K14" s="30">
        <f t="shared" si="2"/>
        <v>7.2216149155039003E-2</v>
      </c>
      <c r="L14" s="30">
        <f t="shared" si="2"/>
        <v>3.0709890764032668</v>
      </c>
      <c r="M14" s="30">
        <f t="shared" si="2"/>
        <v>148.97879965452944</v>
      </c>
      <c r="N14" s="30">
        <f t="shared" si="2"/>
        <v>9.9733706252798164</v>
      </c>
      <c r="O14" s="30">
        <f t="shared" si="2"/>
        <v>4.7812246397177398E-2</v>
      </c>
      <c r="P14" s="30">
        <f t="shared" si="2"/>
        <v>13.4405</v>
      </c>
      <c r="Q14" s="30">
        <f t="shared" si="2"/>
        <v>1.3792887662447451E-2</v>
      </c>
      <c r="R14" s="30">
        <f t="shared" si="2"/>
        <v>3.9176763058110202</v>
      </c>
      <c r="S14" s="30">
        <f t="shared" si="2"/>
        <v>97.985379128983951</v>
      </c>
    </row>
    <row r="15" spans="1:19" x14ac:dyDescent="0.35">
      <c r="A15" s="2" t="s">
        <v>131</v>
      </c>
      <c r="B15" s="3">
        <v>448.61975763472498</v>
      </c>
      <c r="C15" s="6">
        <v>101.173672668303</v>
      </c>
      <c r="D15" s="3">
        <v>93.189270153409694</v>
      </c>
      <c r="E15" s="6">
        <v>195.67780100818001</v>
      </c>
      <c r="F15" s="3">
        <v>48.131195188244597</v>
      </c>
      <c r="G15" s="6">
        <v>78.164536239433204</v>
      </c>
      <c r="H15" s="3">
        <v>4.4211138029661301</v>
      </c>
      <c r="I15" s="6">
        <v>0.70827355278266602</v>
      </c>
      <c r="J15" s="3">
        <v>67.546400054828396</v>
      </c>
      <c r="K15" s="6">
        <v>3.3852826315463602E-2</v>
      </c>
      <c r="L15" s="3">
        <v>0.97309335903409699</v>
      </c>
      <c r="M15" s="6">
        <v>29.553223728031298</v>
      </c>
      <c r="N15" s="3">
        <v>13.224097273290299</v>
      </c>
      <c r="O15" s="6">
        <v>1.8143908595699899E-2</v>
      </c>
      <c r="P15" s="6">
        <v>4.5069999999999997</v>
      </c>
      <c r="Q15" s="3">
        <v>1.6996960511987898E-2</v>
      </c>
      <c r="R15" s="6">
        <v>3.1630449043294302</v>
      </c>
      <c r="S15" s="3">
        <v>60.979785942745799</v>
      </c>
    </row>
    <row r="16" spans="1:19" x14ac:dyDescent="0.35">
      <c r="A16" s="2" t="s">
        <v>129</v>
      </c>
      <c r="B16" s="3">
        <v>478.54912896977902</v>
      </c>
      <c r="C16" s="6">
        <v>112.54331468105001</v>
      </c>
      <c r="D16" s="3">
        <v>98.144336766881594</v>
      </c>
      <c r="E16" s="6">
        <v>195.035919118533</v>
      </c>
      <c r="F16" s="3">
        <v>42.8352195104763</v>
      </c>
      <c r="G16" s="6">
        <v>82.114342959754396</v>
      </c>
      <c r="H16" s="3">
        <v>12.650651609596901</v>
      </c>
      <c r="I16" s="6">
        <v>2.1625395414854101</v>
      </c>
      <c r="J16" s="3">
        <v>117.396193059334</v>
      </c>
      <c r="K16" s="6">
        <v>0.123008085453378</v>
      </c>
      <c r="L16" s="3">
        <v>11.1295066442554</v>
      </c>
      <c r="M16" s="6">
        <v>32.684839177349197</v>
      </c>
      <c r="N16" s="3">
        <v>14.4404923379347</v>
      </c>
      <c r="O16" s="6">
        <v>4.7946678146324001E-2</v>
      </c>
      <c r="P16" s="6">
        <v>4.6959999999999997</v>
      </c>
      <c r="Q16" s="3">
        <v>1.4509531743563101E-2</v>
      </c>
      <c r="R16" s="6">
        <v>3.19051654389754</v>
      </c>
      <c r="S16" s="3">
        <v>67.788847811648395</v>
      </c>
    </row>
    <row r="17" spans="1:19" x14ac:dyDescent="0.35">
      <c r="A17" s="32" t="s">
        <v>160</v>
      </c>
      <c r="B17" s="33">
        <f>SUM(B15:B16)/2</f>
        <v>463.584443302252</v>
      </c>
      <c r="C17" s="33">
        <f t="shared" ref="C17:S17" si="3">SUM(C15:C16)/2</f>
        <v>106.85849367467651</v>
      </c>
      <c r="D17" s="33">
        <f t="shared" si="3"/>
        <v>95.666803460145644</v>
      </c>
      <c r="E17" s="33">
        <f t="shared" si="3"/>
        <v>195.35686006335652</v>
      </c>
      <c r="F17" s="33">
        <f t="shared" si="3"/>
        <v>45.483207349360448</v>
      </c>
      <c r="G17" s="33">
        <f t="shared" si="3"/>
        <v>80.1394395995938</v>
      </c>
      <c r="H17" s="33">
        <f t="shared" si="3"/>
        <v>8.5358827062815159</v>
      </c>
      <c r="I17" s="33">
        <f t="shared" si="3"/>
        <v>1.435406547134038</v>
      </c>
      <c r="J17" s="33">
        <f t="shared" si="3"/>
        <v>92.471296557081189</v>
      </c>
      <c r="K17" s="33">
        <f t="shared" si="3"/>
        <v>7.8430455884420797E-2</v>
      </c>
      <c r="L17" s="33">
        <f t="shared" si="3"/>
        <v>6.0513000016447487</v>
      </c>
      <c r="M17" s="33">
        <f t="shared" si="3"/>
        <v>31.119031452690248</v>
      </c>
      <c r="N17" s="33">
        <f t="shared" si="3"/>
        <v>13.832294805612499</v>
      </c>
      <c r="O17" s="33">
        <f t="shared" si="3"/>
        <v>3.3045293371011947E-2</v>
      </c>
      <c r="P17" s="33">
        <f t="shared" si="3"/>
        <v>4.6014999999999997</v>
      </c>
      <c r="Q17" s="33">
        <f t="shared" si="3"/>
        <v>1.5753246127775501E-2</v>
      </c>
      <c r="R17" s="33">
        <f t="shared" si="3"/>
        <v>3.1767807241134851</v>
      </c>
      <c r="S17" s="33">
        <f t="shared" si="3"/>
        <v>64.384316877197094</v>
      </c>
    </row>
    <row r="18" spans="1:19" x14ac:dyDescent="0.35">
      <c r="A18" s="2" t="s">
        <v>130</v>
      </c>
      <c r="B18" s="3">
        <v>674.58555788344097</v>
      </c>
      <c r="C18" s="6">
        <v>57.387370774607497</v>
      </c>
      <c r="D18" s="3">
        <v>159.75307942666399</v>
      </c>
      <c r="E18" s="6">
        <v>212.412355580069</v>
      </c>
      <c r="F18" s="3">
        <v>30.219652790757699</v>
      </c>
      <c r="G18" s="6">
        <v>62.510599736342002</v>
      </c>
      <c r="H18" s="3">
        <v>6.3141889234401098</v>
      </c>
      <c r="I18" s="6">
        <v>1.7973615997418599</v>
      </c>
      <c r="J18" s="3">
        <v>199.68970162285399</v>
      </c>
      <c r="K18" s="6">
        <v>9.7252236441516898E-2</v>
      </c>
      <c r="L18" s="3">
        <v>3.5099137876010502</v>
      </c>
      <c r="M18" s="6">
        <v>715.47448011339497</v>
      </c>
      <c r="N18" s="3">
        <v>16.236987102905001</v>
      </c>
      <c r="O18" s="6">
        <v>6.4437755716241898E-2</v>
      </c>
      <c r="P18" s="6">
        <v>72.578999999999994</v>
      </c>
      <c r="Q18" s="3">
        <v>2.0679350862147401E-2</v>
      </c>
      <c r="R18" s="6">
        <v>3.6432985845828298</v>
      </c>
      <c r="S18" s="3">
        <v>227.45943152608001</v>
      </c>
    </row>
    <row r="19" spans="1:19" x14ac:dyDescent="0.35">
      <c r="A19" s="2" t="s">
        <v>133</v>
      </c>
      <c r="B19" s="3">
        <v>1774.3678274378101</v>
      </c>
      <c r="C19" s="6">
        <v>137.6503554352</v>
      </c>
      <c r="D19" s="3">
        <v>316.00260526548101</v>
      </c>
      <c r="E19" s="6">
        <v>45.189927996200197</v>
      </c>
      <c r="F19" s="3">
        <v>80.224751906264203</v>
      </c>
      <c r="G19" s="6">
        <v>147.58175915487999</v>
      </c>
      <c r="H19" s="3">
        <v>7.2692348412773802</v>
      </c>
      <c r="I19" s="6">
        <v>2.5673149822712702</v>
      </c>
      <c r="J19" s="3">
        <v>296.26336776244301</v>
      </c>
      <c r="K19" s="6">
        <v>4.37632417993572E-2</v>
      </c>
      <c r="L19" s="3">
        <v>0.60311303020227902</v>
      </c>
      <c r="M19" s="6">
        <v>822.16169041871399</v>
      </c>
      <c r="N19" s="3">
        <v>17.483951179049601</v>
      </c>
      <c r="O19" s="6">
        <v>8.5404084184132201E-2</v>
      </c>
      <c r="P19" s="6">
        <v>131.85900000000001</v>
      </c>
      <c r="Q19" s="3">
        <v>6.5029510122390499E-3</v>
      </c>
      <c r="R19" s="6">
        <v>2.9421475628687799</v>
      </c>
      <c r="S19" s="3">
        <v>467.56777918212498</v>
      </c>
    </row>
    <row r="20" spans="1:19" x14ac:dyDescent="0.35">
      <c r="A20" s="32" t="s">
        <v>161</v>
      </c>
      <c r="B20" s="33">
        <f>SUM(B18:B19)/2</f>
        <v>1224.4766926606255</v>
      </c>
      <c r="C20" s="33">
        <f t="shared" ref="C20:S20" si="4">SUM(C18:C19)/2</f>
        <v>97.518863104903744</v>
      </c>
      <c r="D20" s="33">
        <f t="shared" si="4"/>
        <v>237.8778423460725</v>
      </c>
      <c r="E20" s="33">
        <f t="shared" si="4"/>
        <v>128.8011417881346</v>
      </c>
      <c r="F20" s="33">
        <f t="shared" si="4"/>
        <v>55.222202348510947</v>
      </c>
      <c r="G20" s="33">
        <f t="shared" si="4"/>
        <v>105.04617944561099</v>
      </c>
      <c r="H20" s="33">
        <f t="shared" si="4"/>
        <v>6.7917118823587455</v>
      </c>
      <c r="I20" s="33">
        <f t="shared" si="4"/>
        <v>2.1823382910065652</v>
      </c>
      <c r="J20" s="33">
        <f t="shared" si="4"/>
        <v>247.9765346926485</v>
      </c>
      <c r="K20" s="33">
        <f t="shared" si="4"/>
        <v>7.0507739120437049E-2</v>
      </c>
      <c r="L20" s="33">
        <f t="shared" si="4"/>
        <v>2.0565134089016648</v>
      </c>
      <c r="M20" s="33">
        <f t="shared" si="4"/>
        <v>768.81808526605448</v>
      </c>
      <c r="N20" s="33">
        <f t="shared" si="4"/>
        <v>16.860469140977301</v>
      </c>
      <c r="O20" s="33">
        <f t="shared" si="4"/>
        <v>7.4920919950187043E-2</v>
      </c>
      <c r="P20" s="33">
        <f t="shared" si="4"/>
        <v>102.21899999999999</v>
      </c>
      <c r="Q20" s="33">
        <f t="shared" si="4"/>
        <v>1.3591150937193226E-2</v>
      </c>
      <c r="R20" s="33">
        <f t="shared" si="4"/>
        <v>3.2927230737258046</v>
      </c>
      <c r="S20" s="33">
        <f t="shared" si="4"/>
        <v>347.51360535410248</v>
      </c>
    </row>
    <row r="23" spans="1:19" x14ac:dyDescent="0.35">
      <c r="B23" t="s">
        <v>175</v>
      </c>
      <c r="C23" t="s">
        <v>201</v>
      </c>
      <c r="D23" t="s">
        <v>177</v>
      </c>
      <c r="E23" t="s">
        <v>202</v>
      </c>
      <c r="F23" t="s">
        <v>174</v>
      </c>
      <c r="G23" t="s">
        <v>174</v>
      </c>
      <c r="H23" t="s">
        <v>203</v>
      </c>
      <c r="I23" t="s">
        <v>204</v>
      </c>
      <c r="J23" t="s">
        <v>179</v>
      </c>
      <c r="K23" t="s">
        <v>205</v>
      </c>
      <c r="L23" t="s">
        <v>206</v>
      </c>
      <c r="M23" t="s">
        <v>176</v>
      </c>
      <c r="N23" t="s">
        <v>183</v>
      </c>
      <c r="O23" t="s">
        <v>207</v>
      </c>
      <c r="P23" t="s">
        <v>181</v>
      </c>
      <c r="Q23" t="s">
        <v>208</v>
      </c>
      <c r="R23" t="s">
        <v>209</v>
      </c>
      <c r="S23" t="s">
        <v>180</v>
      </c>
    </row>
    <row r="24" spans="1:19" x14ac:dyDescent="0.35">
      <c r="A24" t="s">
        <v>158</v>
      </c>
      <c r="B24">
        <v>418.93737581532503</v>
      </c>
      <c r="C24">
        <v>97.180323202934545</v>
      </c>
      <c r="D24">
        <v>489.85405532795755</v>
      </c>
      <c r="E24">
        <v>167.15692979731651</v>
      </c>
      <c r="F24">
        <v>54.078145833547296</v>
      </c>
      <c r="G24">
        <v>85.083810747932205</v>
      </c>
      <c r="H24">
        <v>6.9442378395381699</v>
      </c>
      <c r="I24">
        <v>1.2699200204025329</v>
      </c>
      <c r="J24">
        <v>82.943269660585102</v>
      </c>
      <c r="K24">
        <v>0.17075376816199961</v>
      </c>
      <c r="L24">
        <v>6.2090269610459501</v>
      </c>
      <c r="M24">
        <v>30.583895740614249</v>
      </c>
      <c r="N24">
        <v>15.031514944173452</v>
      </c>
      <c r="O24">
        <v>0.11854993082831125</v>
      </c>
      <c r="P24">
        <v>4.6419999999999995</v>
      </c>
      <c r="Q24">
        <v>2.2866560248842052E-2</v>
      </c>
      <c r="R24">
        <v>3.0298478950935399</v>
      </c>
      <c r="S24">
        <v>55.730859483671949</v>
      </c>
    </row>
    <row r="25" spans="1:19" x14ac:dyDescent="0.35">
      <c r="A25" t="s">
        <v>157</v>
      </c>
      <c r="B25">
        <v>994.82468782834803</v>
      </c>
      <c r="C25">
        <v>127.8748818642045</v>
      </c>
      <c r="D25">
        <v>282.79526479753798</v>
      </c>
      <c r="E25">
        <v>187.0994800157645</v>
      </c>
      <c r="F25">
        <v>94.450232131414396</v>
      </c>
      <c r="G25">
        <v>192.48107222424551</v>
      </c>
      <c r="H25">
        <v>19.92779948099</v>
      </c>
      <c r="I25">
        <v>3.3182027053823697</v>
      </c>
      <c r="J25">
        <v>223.259774400335</v>
      </c>
      <c r="K25">
        <v>0.25723801945358199</v>
      </c>
      <c r="L25">
        <v>15.0142370473196</v>
      </c>
      <c r="M25">
        <v>399.46839823131154</v>
      </c>
      <c r="N25">
        <v>14.762688932836749</v>
      </c>
      <c r="O25">
        <v>6.540739694813015E-2</v>
      </c>
      <c r="P25">
        <v>19.239000000000001</v>
      </c>
      <c r="Q25">
        <v>3.6150351611630348E-2</v>
      </c>
      <c r="R25">
        <v>5.1391527678952507</v>
      </c>
      <c r="S25">
        <v>132.0025589958455</v>
      </c>
    </row>
    <row r="26" spans="1:19" x14ac:dyDescent="0.35">
      <c r="A26" t="s">
        <v>159</v>
      </c>
      <c r="B26">
        <v>1867.6105413590949</v>
      </c>
      <c r="C26">
        <v>156.81066480428598</v>
      </c>
      <c r="D26">
        <v>399.29101132820301</v>
      </c>
      <c r="E26">
        <v>169.19336631927001</v>
      </c>
      <c r="F26">
        <v>78.891926485695592</v>
      </c>
      <c r="G26">
        <v>151.17765796153049</v>
      </c>
      <c r="H26">
        <v>12.06000065709495</v>
      </c>
      <c r="I26">
        <v>3.1801976391579649</v>
      </c>
      <c r="J26">
        <v>356.69891219798302</v>
      </c>
      <c r="K26">
        <v>0.10733740066733011</v>
      </c>
      <c r="L26">
        <v>3.8994128598202304</v>
      </c>
      <c r="M26">
        <v>1417.96649497618</v>
      </c>
      <c r="N26">
        <v>18.354916097245351</v>
      </c>
      <c r="O26">
        <v>9.2571824172261091E-2</v>
      </c>
      <c r="P26">
        <v>102.8095</v>
      </c>
      <c r="Q26">
        <v>2.2466619029413451E-2</v>
      </c>
      <c r="R26">
        <v>5.2795065830759906</v>
      </c>
      <c r="S26">
        <v>383.86438175923001</v>
      </c>
    </row>
    <row r="27" spans="1:19" x14ac:dyDescent="0.35">
      <c r="A27" t="s">
        <v>162</v>
      </c>
      <c r="B27">
        <v>769.02858794676149</v>
      </c>
      <c r="C27">
        <v>107.94285356356784</v>
      </c>
      <c r="D27">
        <v>142.4103578900895</v>
      </c>
      <c r="E27">
        <v>106.60448490475879</v>
      </c>
      <c r="F27">
        <v>71.68504043702859</v>
      </c>
      <c r="G27">
        <v>130.41479321326699</v>
      </c>
      <c r="H27">
        <v>11.755260709928791</v>
      </c>
      <c r="I27">
        <v>1.3596414211052301</v>
      </c>
      <c r="J27">
        <v>121.99923790759249</v>
      </c>
      <c r="K27">
        <v>7.2216149155039003E-2</v>
      </c>
      <c r="L27">
        <v>3.0709890764032668</v>
      </c>
      <c r="M27">
        <v>148.97879965452944</v>
      </c>
      <c r="N27">
        <v>9.9733706252798164</v>
      </c>
      <c r="O27">
        <v>4.7812246397177398E-2</v>
      </c>
      <c r="P27">
        <v>13.4405</v>
      </c>
      <c r="Q27">
        <v>1.3792887662447451E-2</v>
      </c>
      <c r="R27">
        <v>3.9176763058110202</v>
      </c>
      <c r="S27">
        <v>97.985379128983951</v>
      </c>
    </row>
    <row r="28" spans="1:19" x14ac:dyDescent="0.35">
      <c r="A28" t="s">
        <v>160</v>
      </c>
      <c r="B28">
        <v>463.584443302252</v>
      </c>
      <c r="C28">
        <v>106.85849367467651</v>
      </c>
      <c r="D28">
        <v>95.666803460145644</v>
      </c>
      <c r="E28">
        <v>195.35686006335652</v>
      </c>
      <c r="F28">
        <v>45.483207349360448</v>
      </c>
      <c r="G28">
        <v>80.1394395995938</v>
      </c>
      <c r="H28">
        <v>8.5358827062815159</v>
      </c>
      <c r="I28">
        <v>1.435406547134038</v>
      </c>
      <c r="J28">
        <v>92.471296557081189</v>
      </c>
      <c r="K28">
        <v>7.8430455884420797E-2</v>
      </c>
      <c r="L28">
        <v>6.0513000016447487</v>
      </c>
      <c r="M28">
        <v>31.119031452690248</v>
      </c>
      <c r="N28">
        <v>13.832294805612499</v>
      </c>
      <c r="O28">
        <v>3.3045293371011947E-2</v>
      </c>
      <c r="P28">
        <v>4.6014999999999997</v>
      </c>
      <c r="Q28">
        <v>1.5753246127775501E-2</v>
      </c>
      <c r="R28">
        <v>3.1767807241134851</v>
      </c>
      <c r="S28">
        <v>64.384316877197094</v>
      </c>
    </row>
    <row r="29" spans="1:19" x14ac:dyDescent="0.35">
      <c r="A29" t="s">
        <v>161</v>
      </c>
      <c r="B29">
        <v>1224.4766926606255</v>
      </c>
      <c r="C29">
        <v>97.518863104903744</v>
      </c>
      <c r="D29">
        <v>237.8778423460725</v>
      </c>
      <c r="E29">
        <v>128.8011417881346</v>
      </c>
      <c r="F29">
        <v>55.222202348510947</v>
      </c>
      <c r="G29">
        <v>105.04617944561099</v>
      </c>
      <c r="H29">
        <v>6.7917118823587455</v>
      </c>
      <c r="I29">
        <v>2.1823382910065652</v>
      </c>
      <c r="J29">
        <v>247.9765346926485</v>
      </c>
      <c r="K29">
        <v>7.0507739120437049E-2</v>
      </c>
      <c r="L29">
        <v>2.0565134089016648</v>
      </c>
      <c r="M29">
        <v>768.81808526605448</v>
      </c>
      <c r="N29">
        <v>16.860469140977301</v>
      </c>
      <c r="O29">
        <v>7.4920919950187043E-2</v>
      </c>
      <c r="P29">
        <v>102.21899999999999</v>
      </c>
      <c r="Q29">
        <v>1.3591150937193226E-2</v>
      </c>
      <c r="R29">
        <v>3.2927230737258046</v>
      </c>
      <c r="S29">
        <v>347.51360535410248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0CE8-A15D-416B-93C9-0B5EAF5F79C1}">
  <dimension ref="D4:W23"/>
  <sheetViews>
    <sheetView tabSelected="1" topLeftCell="B6" workbookViewId="0">
      <selection activeCell="O27" sqref="O27"/>
    </sheetView>
  </sheetViews>
  <sheetFormatPr defaultRowHeight="14.5" x14ac:dyDescent="0.35"/>
  <cols>
    <col min="4" max="4" width="18.7265625" customWidth="1"/>
    <col min="5" max="5" width="13.7265625" bestFit="1" customWidth="1"/>
    <col min="6" max="6" width="9.54296875" customWidth="1"/>
    <col min="7" max="7" width="8.7265625" customWidth="1"/>
    <col min="11" max="11" width="10.1796875" customWidth="1"/>
    <col min="12" max="12" width="9.36328125" customWidth="1"/>
  </cols>
  <sheetData>
    <row r="4" spans="4:23" x14ac:dyDescent="0.35">
      <c r="T4" t="s">
        <v>200</v>
      </c>
    </row>
    <row r="8" spans="4:23" x14ac:dyDescent="0.35">
      <c r="D8" s="39" t="s">
        <v>138</v>
      </c>
      <c r="E8" s="39" t="s">
        <v>163</v>
      </c>
      <c r="F8" s="39" t="s">
        <v>164</v>
      </c>
      <c r="G8" s="39" t="s">
        <v>165</v>
      </c>
      <c r="J8" s="39" t="s">
        <v>172</v>
      </c>
      <c r="K8" s="39" t="s">
        <v>166</v>
      </c>
      <c r="L8" s="39" t="s">
        <v>167</v>
      </c>
      <c r="M8" s="39" t="s">
        <v>168</v>
      </c>
      <c r="N8" s="39" t="s">
        <v>169</v>
      </c>
      <c r="O8" s="39" t="s">
        <v>170</v>
      </c>
      <c r="P8" s="39" t="s">
        <v>135</v>
      </c>
      <c r="R8" t="s">
        <v>190</v>
      </c>
      <c r="S8" t="s">
        <v>191</v>
      </c>
      <c r="T8" t="s">
        <v>192</v>
      </c>
      <c r="U8" t="s">
        <v>193</v>
      </c>
      <c r="V8" t="s">
        <v>194</v>
      </c>
      <c r="W8" t="s">
        <v>195</v>
      </c>
    </row>
    <row r="9" spans="4:23" x14ac:dyDescent="0.35">
      <c r="D9" s="40" t="s">
        <v>166</v>
      </c>
      <c r="E9" s="40">
        <v>30.6</v>
      </c>
      <c r="F9" s="40">
        <v>3.75</v>
      </c>
      <c r="G9" s="40">
        <v>12.3</v>
      </c>
      <c r="J9" s="40" t="s">
        <v>176</v>
      </c>
      <c r="K9" s="40">
        <v>30.6</v>
      </c>
      <c r="L9" s="40">
        <v>31.1</v>
      </c>
      <c r="M9" s="40">
        <v>399.5</v>
      </c>
      <c r="N9" s="40">
        <v>1418</v>
      </c>
      <c r="O9" s="40">
        <v>768.8</v>
      </c>
      <c r="P9" s="40">
        <v>148.9</v>
      </c>
      <c r="R9" t="s">
        <v>196</v>
      </c>
      <c r="S9" t="s">
        <v>16</v>
      </c>
      <c r="T9">
        <v>124.77</v>
      </c>
      <c r="U9" s="42">
        <v>1247700</v>
      </c>
      <c r="V9" s="42">
        <v>12477</v>
      </c>
      <c r="W9" s="43">
        <v>0.442</v>
      </c>
    </row>
    <row r="10" spans="4:23" x14ac:dyDescent="0.35">
      <c r="D10" s="40" t="s">
        <v>167</v>
      </c>
      <c r="E10" s="40">
        <v>31.1</v>
      </c>
      <c r="F10" s="40">
        <v>2.21</v>
      </c>
      <c r="G10" s="40">
        <v>7.1</v>
      </c>
      <c r="J10" s="40" t="s">
        <v>181</v>
      </c>
      <c r="K10" s="40">
        <v>4.6399999999999997</v>
      </c>
      <c r="L10" s="40">
        <v>4.5999999999999996</v>
      </c>
      <c r="M10" s="40">
        <v>19.239999999999998</v>
      </c>
      <c r="N10" s="40">
        <v>102.8</v>
      </c>
      <c r="O10" s="40">
        <v>102.2</v>
      </c>
      <c r="P10" s="40">
        <v>13.4</v>
      </c>
      <c r="S10" t="s">
        <v>70</v>
      </c>
      <c r="T10">
        <v>148.74</v>
      </c>
      <c r="U10" s="42">
        <v>1487400</v>
      </c>
      <c r="V10" s="42">
        <v>14874</v>
      </c>
      <c r="W10" s="43">
        <v>0.52700000000000002</v>
      </c>
    </row>
    <row r="11" spans="4:23" x14ac:dyDescent="0.35">
      <c r="D11" s="40" t="s">
        <v>168</v>
      </c>
      <c r="E11" s="40">
        <v>399.5</v>
      </c>
      <c r="F11" s="40">
        <v>271.3</v>
      </c>
      <c r="G11" s="40">
        <v>67.900000000000006</v>
      </c>
      <c r="J11" s="40" t="s">
        <v>180</v>
      </c>
      <c r="K11" s="40">
        <v>55.7</v>
      </c>
      <c r="L11" s="40">
        <v>64.400000000000006</v>
      </c>
      <c r="M11" s="40">
        <v>132</v>
      </c>
      <c r="N11" s="40">
        <v>383.9</v>
      </c>
      <c r="O11" s="40">
        <v>347.5</v>
      </c>
      <c r="P11" s="40">
        <v>98</v>
      </c>
      <c r="S11" t="s">
        <v>118</v>
      </c>
      <c r="T11">
        <v>155.4</v>
      </c>
      <c r="U11" s="42">
        <v>1554000</v>
      </c>
      <c r="V11" s="42">
        <v>15540</v>
      </c>
      <c r="W11" s="43">
        <v>0.55100000000000005</v>
      </c>
    </row>
    <row r="12" spans="4:23" x14ac:dyDescent="0.35">
      <c r="D12" s="40" t="s">
        <v>169</v>
      </c>
      <c r="E12" s="40">
        <v>1418</v>
      </c>
      <c r="F12" s="40">
        <v>195.8</v>
      </c>
      <c r="G12" s="40">
        <v>13.8</v>
      </c>
      <c r="J12" s="40" t="s">
        <v>179</v>
      </c>
      <c r="K12" s="40">
        <v>82.9</v>
      </c>
      <c r="L12" s="40">
        <v>92.5</v>
      </c>
      <c r="M12" s="40">
        <v>223.3</v>
      </c>
      <c r="N12" s="40">
        <v>356.7</v>
      </c>
      <c r="O12" s="40">
        <v>248</v>
      </c>
      <c r="P12" s="40">
        <v>122</v>
      </c>
      <c r="S12" t="s">
        <v>145</v>
      </c>
      <c r="T12">
        <v>142.97</v>
      </c>
      <c r="W12" s="43">
        <v>0.50700000000000001</v>
      </c>
    </row>
    <row r="13" spans="4:23" x14ac:dyDescent="0.35">
      <c r="D13" s="40" t="s">
        <v>170</v>
      </c>
      <c r="E13" s="40">
        <v>768.8</v>
      </c>
      <c r="F13" s="40">
        <v>75.400000000000006</v>
      </c>
      <c r="G13" s="40">
        <v>9.8000000000000007</v>
      </c>
      <c r="J13" s="40" t="s">
        <v>183</v>
      </c>
      <c r="K13" s="40">
        <v>15</v>
      </c>
      <c r="L13" s="40">
        <v>13.8</v>
      </c>
      <c r="M13" s="40">
        <v>14.8</v>
      </c>
      <c r="N13" s="40">
        <v>18.399999999999999</v>
      </c>
      <c r="O13" s="40">
        <v>16.899999999999999</v>
      </c>
      <c r="P13" s="40">
        <v>10</v>
      </c>
      <c r="S13" t="s">
        <v>146</v>
      </c>
      <c r="W13">
        <v>5.7</v>
      </c>
    </row>
    <row r="14" spans="4:23" x14ac:dyDescent="0.35">
      <c r="D14" s="40" t="s">
        <v>171</v>
      </c>
      <c r="E14" s="40">
        <v>148.9</v>
      </c>
      <c r="F14" s="40">
        <v>98.2</v>
      </c>
      <c r="G14" s="40">
        <v>66</v>
      </c>
      <c r="J14" s="40" t="s">
        <v>175</v>
      </c>
      <c r="K14" s="40">
        <v>418.9</v>
      </c>
      <c r="L14" s="40">
        <v>463.6</v>
      </c>
      <c r="M14" s="40">
        <v>994.8</v>
      </c>
      <c r="N14" s="40">
        <v>1867.6</v>
      </c>
      <c r="O14" s="40">
        <v>1224.5</v>
      </c>
      <c r="P14" s="40">
        <v>769</v>
      </c>
      <c r="R14" t="s">
        <v>197</v>
      </c>
      <c r="S14" t="s">
        <v>11</v>
      </c>
      <c r="T14">
        <v>77.44</v>
      </c>
      <c r="U14" s="42">
        <v>774400</v>
      </c>
      <c r="V14" s="42">
        <v>7744</v>
      </c>
      <c r="W14" s="43">
        <v>0.27400000000000002</v>
      </c>
    </row>
    <row r="15" spans="4:23" x14ac:dyDescent="0.35">
      <c r="J15" s="40" t="s">
        <v>177</v>
      </c>
      <c r="K15" s="40">
        <v>489.9</v>
      </c>
      <c r="L15" s="40">
        <v>95.7</v>
      </c>
      <c r="M15" s="40">
        <v>282.8</v>
      </c>
      <c r="N15" s="40">
        <v>399.3</v>
      </c>
      <c r="O15" s="40">
        <v>237.9</v>
      </c>
      <c r="P15" s="40">
        <v>142.4</v>
      </c>
      <c r="S15" t="s">
        <v>108</v>
      </c>
      <c r="T15">
        <v>79.12</v>
      </c>
      <c r="U15" s="42">
        <v>791200</v>
      </c>
      <c r="V15" s="42">
        <v>7912</v>
      </c>
      <c r="W15" s="43">
        <v>0.28000000000000003</v>
      </c>
    </row>
    <row r="16" spans="4:23" x14ac:dyDescent="0.35">
      <c r="S16" t="s">
        <v>10</v>
      </c>
      <c r="T16">
        <v>91.32</v>
      </c>
      <c r="U16" s="42">
        <v>913200</v>
      </c>
      <c r="V16" s="42">
        <v>9132</v>
      </c>
      <c r="W16" s="43">
        <v>0.32400000000000001</v>
      </c>
    </row>
    <row r="17" spans="13:23" x14ac:dyDescent="0.35">
      <c r="S17" t="s">
        <v>145</v>
      </c>
      <c r="T17">
        <v>82.63</v>
      </c>
      <c r="W17" s="43">
        <v>0.29299999999999998</v>
      </c>
    </row>
    <row r="18" spans="13:23" x14ac:dyDescent="0.35">
      <c r="S18" t="s">
        <v>146</v>
      </c>
      <c r="W18">
        <v>2.7</v>
      </c>
    </row>
    <row r="19" spans="13:23" x14ac:dyDescent="0.35">
      <c r="M19" t="s">
        <v>196</v>
      </c>
      <c r="N19" s="34">
        <v>50.7</v>
      </c>
      <c r="R19" t="s">
        <v>198</v>
      </c>
      <c r="S19" t="s">
        <v>199</v>
      </c>
      <c r="T19">
        <v>62.54</v>
      </c>
      <c r="U19" s="42">
        <v>625400</v>
      </c>
      <c r="V19" s="42">
        <v>6254</v>
      </c>
      <c r="W19" s="43">
        <v>0.222</v>
      </c>
    </row>
    <row r="20" spans="13:23" x14ac:dyDescent="0.35">
      <c r="M20" t="s">
        <v>197</v>
      </c>
      <c r="N20" s="34">
        <v>29.3</v>
      </c>
      <c r="S20" t="s">
        <v>4</v>
      </c>
      <c r="T20">
        <v>69.290000000000006</v>
      </c>
      <c r="U20" s="42">
        <v>692900</v>
      </c>
      <c r="V20" s="42">
        <v>6929</v>
      </c>
      <c r="W20" s="43">
        <v>0.246</v>
      </c>
    </row>
    <row r="21" spans="13:23" x14ac:dyDescent="0.35">
      <c r="M21" t="s">
        <v>198</v>
      </c>
      <c r="N21" s="34">
        <v>21.1</v>
      </c>
      <c r="S21" t="s">
        <v>100</v>
      </c>
      <c r="T21">
        <v>46.73</v>
      </c>
      <c r="U21" s="42">
        <v>467300</v>
      </c>
      <c r="V21" s="42">
        <v>4673</v>
      </c>
      <c r="W21" s="43">
        <v>0.16600000000000001</v>
      </c>
    </row>
    <row r="22" spans="13:23" x14ac:dyDescent="0.35">
      <c r="N22" s="34"/>
      <c r="S22" t="s">
        <v>145</v>
      </c>
      <c r="T22">
        <v>59.52</v>
      </c>
      <c r="W22" s="43">
        <v>0.21099999999999999</v>
      </c>
    </row>
    <row r="23" spans="13:23" x14ac:dyDescent="0.35">
      <c r="S23" t="s">
        <v>146</v>
      </c>
      <c r="W23">
        <v>4.0999999999999996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20"/>
  <sheetViews>
    <sheetView zoomScaleNormal="100" workbookViewId="0"/>
  </sheetViews>
  <sheetFormatPr defaultColWidth="9.1796875" defaultRowHeight="14.5" x14ac:dyDescent="0.35"/>
  <sheetData>
    <row r="1" spans="1:1" x14ac:dyDescent="0.35">
      <c r="A1" t="s">
        <v>41</v>
      </c>
    </row>
    <row r="2" spans="1:1" x14ac:dyDescent="0.35">
      <c r="A2" t="s">
        <v>54</v>
      </c>
    </row>
    <row r="3" spans="1:1" x14ac:dyDescent="0.35">
      <c r="A3" t="s">
        <v>42</v>
      </c>
    </row>
    <row r="4" spans="1:1" x14ac:dyDescent="0.35">
      <c r="A4" t="s">
        <v>75</v>
      </c>
    </row>
    <row r="5" spans="1:1" x14ac:dyDescent="0.35">
      <c r="A5" t="s">
        <v>109</v>
      </c>
    </row>
    <row r="6" spans="1:1" x14ac:dyDescent="0.35">
      <c r="A6" t="s">
        <v>60</v>
      </c>
    </row>
    <row r="7" spans="1:1" x14ac:dyDescent="0.35">
      <c r="A7" t="s">
        <v>37</v>
      </c>
    </row>
    <row r="8" spans="1:1" x14ac:dyDescent="0.35">
      <c r="A8" t="s">
        <v>38</v>
      </c>
    </row>
    <row r="9" spans="1:1" x14ac:dyDescent="0.35">
      <c r="A9" t="s">
        <v>39</v>
      </c>
    </row>
    <row r="10" spans="1:1" x14ac:dyDescent="0.35">
      <c r="A10" t="s">
        <v>90</v>
      </c>
    </row>
    <row r="11" spans="1:1" x14ac:dyDescent="0.35">
      <c r="A11" t="s">
        <v>2</v>
      </c>
    </row>
    <row r="12" spans="1:1" x14ac:dyDescent="0.35">
      <c r="A12" t="s">
        <v>59</v>
      </c>
    </row>
    <row r="13" spans="1:1" x14ac:dyDescent="0.35">
      <c r="A13" t="s">
        <v>55</v>
      </c>
    </row>
    <row r="14" spans="1:1" x14ac:dyDescent="0.35">
      <c r="A14" t="s">
        <v>103</v>
      </c>
    </row>
    <row r="15" spans="1:1" x14ac:dyDescent="0.35">
      <c r="A15" t="s">
        <v>28</v>
      </c>
    </row>
    <row r="16" spans="1:1" x14ac:dyDescent="0.35">
      <c r="A16" t="s">
        <v>19</v>
      </c>
    </row>
    <row r="17" spans="1:1" x14ac:dyDescent="0.35">
      <c r="A17" t="s">
        <v>105</v>
      </c>
    </row>
    <row r="18" spans="1:1" x14ac:dyDescent="0.35">
      <c r="A18" t="s">
        <v>30</v>
      </c>
    </row>
    <row r="19" spans="1:1" x14ac:dyDescent="0.35">
      <c r="A19" t="s">
        <v>45</v>
      </c>
    </row>
    <row r="20" spans="1:1" x14ac:dyDescent="0.35">
      <c r="A2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Sheet3</vt:lpstr>
      <vt:lpstr>Cu</vt:lpstr>
      <vt:lpstr>Sheet2</vt:lpstr>
      <vt:lpstr>Multi Element table</vt:lpstr>
      <vt:lpstr>Stacked bar</vt:lpstr>
      <vt:lpstr>For report</vt:lpstr>
      <vt:lpstr>ValueList_Helper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Bridge, Ollie</cp:lastModifiedBy>
  <dcterms:created xsi:type="dcterms:W3CDTF">2026-06-02T15:49:46Z</dcterms:created>
  <dcterms:modified xsi:type="dcterms:W3CDTF">2026-08-05T11:30:37Z</dcterms:modified>
</cp:coreProperties>
</file>