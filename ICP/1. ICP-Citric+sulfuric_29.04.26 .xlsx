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684" documentId="11_94FB3A6A8B0C07F14326BF0B52CF69A5123D8A53" xr6:coauthVersionLast="47" xr6:coauthVersionMax="47" xr10:uidLastSave="{49E2C759-FB90-4E97-A168-FC0DE511DFE9}"/>
  <bookViews>
    <workbookView minimized="1" xWindow="2220" yWindow="2210" windowWidth="19200" windowHeight="10520" activeTab="2" xr2:uid="{00000000-000D-0000-FFFF-FFFF00000000}"/>
  </bookViews>
  <sheets>
    <sheet name="ICP Data" sheetId="1" r:id="rId1"/>
    <sheet name="Clean Data" sheetId="4" r:id="rId2"/>
    <sheet name="Graph View" sheetId="3" r:id="rId3"/>
    <sheet name="Graph View (2)" sheetId="5" r:id="rId4"/>
    <sheet name="G2" sheetId="6" r:id="rId5"/>
    <sheet name="ValueList_Helper" sheetId="2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22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8" i="4"/>
  <c r="G7" i="4"/>
  <c r="G25" i="4" l="1"/>
</calcChain>
</file>

<file path=xl/sharedStrings.xml><?xml version="1.0" encoding="utf-8"?>
<sst xmlns="http://schemas.openxmlformats.org/spreadsheetml/2006/main" count="632" uniqueCount="167">
  <si>
    <t>7.d</t>
  </si>
  <si>
    <t>QC2</t>
  </si>
  <si>
    <t>SQStd</t>
  </si>
  <si>
    <t>13.d</t>
  </si>
  <si>
    <t>Rinse4.d</t>
  </si>
  <si>
    <t>5.d</t>
  </si>
  <si>
    <t xml:space="preserve">24  Mg  [ He ] </t>
  </si>
  <si>
    <t>Rinse2</t>
  </si>
  <si>
    <t>14.d</t>
  </si>
  <si>
    <t xml:space="preserve">56  Fe  [ He ] </t>
  </si>
  <si>
    <t xml:space="preserve">89  Y ( ISTD )  [ He ] </t>
  </si>
  <si>
    <t>Spike</t>
  </si>
  <si>
    <t>Rinse3</t>
  </si>
  <si>
    <t>10.d</t>
  </si>
  <si>
    <t xml:space="preserve">55  Mn  [ He ] </t>
  </si>
  <si>
    <t xml:space="preserve">107  Ag  [ He ] </t>
  </si>
  <si>
    <t>19.d</t>
  </si>
  <si>
    <t xml:space="preserve">191  Ir ( ISTD )  [ He ] </t>
  </si>
  <si>
    <t>2</t>
  </si>
  <si>
    <t>200.d</t>
  </si>
  <si>
    <t>1000.d</t>
  </si>
  <si>
    <t>Sample</t>
  </si>
  <si>
    <t>Level</t>
  </si>
  <si>
    <t>SQBlk</t>
  </si>
  <si>
    <t xml:space="preserve">11  B  [ He ] </t>
  </si>
  <si>
    <t>&lt;0.000</t>
  </si>
  <si>
    <t xml:space="preserve">137  Ba  [ He ] </t>
  </si>
  <si>
    <t>N/A</t>
  </si>
  <si>
    <t>19</t>
  </si>
  <si>
    <t>Rinse5.d</t>
  </si>
  <si>
    <t>Rinse5</t>
  </si>
  <si>
    <t>DriftChk</t>
  </si>
  <si>
    <t>FQBlk</t>
  </si>
  <si>
    <t>10</t>
  </si>
  <si>
    <t>IsoStd</t>
  </si>
  <si>
    <t>Bkgnd</t>
  </si>
  <si>
    <t>16</t>
  </si>
  <si>
    <t>CalBlk</t>
  </si>
  <si>
    <t>SQISTD</t>
  </si>
  <si>
    <t>13</t>
  </si>
  <si>
    <t xml:space="preserve">45  Sc ( ISTD )  [ He ] </t>
  </si>
  <si>
    <t>Rinse1</t>
  </si>
  <si>
    <t>R2</t>
  </si>
  <si>
    <t>Conc. [ ug/l ]</t>
  </si>
  <si>
    <t>Data File</t>
  </si>
  <si>
    <t xml:space="preserve">60  Ni  [ He ] </t>
  </si>
  <si>
    <t xml:space="preserve">39  K  [ He ] </t>
  </si>
  <si>
    <t>BlkVrfy</t>
  </si>
  <si>
    <t>QC4</t>
  </si>
  <si>
    <t>2.d</t>
  </si>
  <si>
    <t>500.d</t>
  </si>
  <si>
    <t>11.d</t>
  </si>
  <si>
    <t>3</t>
  </si>
  <si>
    <t>QC3</t>
  </si>
  <si>
    <t>DilStd</t>
  </si>
  <si>
    <t>Type</t>
  </si>
  <si>
    <t>8</t>
  </si>
  <si>
    <t xml:space="preserve">205  Tl  [ He ] </t>
  </si>
  <si>
    <t>500</t>
  </si>
  <si>
    <t>blank</t>
  </si>
  <si>
    <t>Acq. Date-Time</t>
  </si>
  <si>
    <t xml:space="preserve">59  Co  [ He ] </t>
  </si>
  <si>
    <t>CalStd</t>
  </si>
  <si>
    <t xml:space="preserve">27  Al  [ He ] </t>
  </si>
  <si>
    <t xml:space="preserve">66  Zn  [ He ] </t>
  </si>
  <si>
    <t xml:space="preserve">63  Cu  [ He ] </t>
  </si>
  <si>
    <t>20.d</t>
  </si>
  <si>
    <t xml:space="preserve">89  Y ( ISTD )  [ H2 ] </t>
  </si>
  <si>
    <t>12.d</t>
  </si>
  <si>
    <t xml:space="preserve">45  Sc ( ISTD )  [ H2 ] </t>
  </si>
  <si>
    <t>R1</t>
  </si>
  <si>
    <t>15.d</t>
  </si>
  <si>
    <t>R2.d</t>
  </si>
  <si>
    <t>Rinse1.d</t>
  </si>
  <si>
    <t>6.d</t>
  </si>
  <si>
    <t xml:space="preserve">56  Fe  [ H2 ] </t>
  </si>
  <si>
    <t>1</t>
  </si>
  <si>
    <t>QC1</t>
  </si>
  <si>
    <t xml:space="preserve">111  Cd  [ He ] </t>
  </si>
  <si>
    <t>17</t>
  </si>
  <si>
    <t>Rinse2.d</t>
  </si>
  <si>
    <t>16.d</t>
  </si>
  <si>
    <t xml:space="preserve">52  Cr  [ He ] </t>
  </si>
  <si>
    <t>200</t>
  </si>
  <si>
    <t>blank.d</t>
  </si>
  <si>
    <t>11</t>
  </si>
  <si>
    <t>CPS RSD</t>
  </si>
  <si>
    <t>1000</t>
  </si>
  <si>
    <t>9</t>
  </si>
  <si>
    <t>CPS</t>
  </si>
  <si>
    <t>QC5</t>
  </si>
  <si>
    <t>3.d</t>
  </si>
  <si>
    <t>1.d</t>
  </si>
  <si>
    <t>Spike Ref</t>
  </si>
  <si>
    <t>8.d</t>
  </si>
  <si>
    <t>Sample Name</t>
  </si>
  <si>
    <t>CICSpike</t>
  </si>
  <si>
    <t/>
  </si>
  <si>
    <t>4.d</t>
  </si>
  <si>
    <t>9.d</t>
  </si>
  <si>
    <t>Rinse4</t>
  </si>
  <si>
    <t xml:space="preserve">23  Na  [ He ] </t>
  </si>
  <si>
    <t xml:space="preserve">191  Ir ( ISTD )  [ H2 ] </t>
  </si>
  <si>
    <t>4</t>
  </si>
  <si>
    <t>7</t>
  </si>
  <si>
    <t>6</t>
  </si>
  <si>
    <t>20</t>
  </si>
  <si>
    <t>17.d</t>
  </si>
  <si>
    <t>R1.d</t>
  </si>
  <si>
    <t>5</t>
  </si>
  <si>
    <t xml:space="preserve">208  Pb  [ He ] </t>
  </si>
  <si>
    <t>15</t>
  </si>
  <si>
    <t>Rinse3.d</t>
  </si>
  <si>
    <t>Rjct</t>
  </si>
  <si>
    <t>14</t>
  </si>
  <si>
    <t>12</t>
  </si>
  <si>
    <t>18.d</t>
  </si>
  <si>
    <t>18</t>
  </si>
  <si>
    <t>Leachate</t>
  </si>
  <si>
    <t>R1 H2SO4 + Fe2(SO4)3</t>
  </si>
  <si>
    <t>R2 H2SO4 + Fe2(SO4)3</t>
  </si>
  <si>
    <t>R3 H2SO4 + Fe2(SO4)3</t>
  </si>
  <si>
    <t>RC Control H2SO4</t>
  </si>
  <si>
    <t>CAH 120 mins</t>
  </si>
  <si>
    <t>CAH 60 mins</t>
  </si>
  <si>
    <t>CAH 30 mins</t>
  </si>
  <si>
    <t>CAH 15 mins</t>
  </si>
  <si>
    <t>CAH 300 mins</t>
  </si>
  <si>
    <t>C6H8O7 125g/L 180 mins</t>
  </si>
  <si>
    <t>C6H8O7 125g/L 120 mins</t>
  </si>
  <si>
    <t>CAH 240 mins (10:1, 400rm, 60degree)</t>
  </si>
  <si>
    <t>C6H8O7 125g/L 60 mins</t>
  </si>
  <si>
    <t>C6H8O7 125g/L 30 mins</t>
  </si>
  <si>
    <t>C6H8O7 125g/L 240 mins (10:1, 400rpm, 60degree)</t>
  </si>
  <si>
    <t>C6H8O7 25g/L (20 hrs, 10:1, 400rpm, 60degree)</t>
  </si>
  <si>
    <t>C6H8O7 25g/L</t>
  </si>
  <si>
    <t>C6H8O7 125g/L</t>
  </si>
  <si>
    <t>C6H8O7 125g/L (25 degree)</t>
  </si>
  <si>
    <t>Parameters</t>
  </si>
  <si>
    <t>CAH</t>
  </si>
  <si>
    <t>30 mins</t>
  </si>
  <si>
    <t>60 mins</t>
  </si>
  <si>
    <t>120 mins</t>
  </si>
  <si>
    <t>240 mins</t>
  </si>
  <si>
    <t>300 mins</t>
  </si>
  <si>
    <t xml:space="preserve"> (2 hrs 10:1, 400rm, 25 degree)</t>
  </si>
  <si>
    <t>("" 25°)</t>
  </si>
  <si>
    <t xml:space="preserve"> (20 hrs10:1, 400rm, 60°)</t>
  </si>
  <si>
    <t>C6H8O7</t>
  </si>
  <si>
    <t xml:space="preserve"> (125g/L, 10:1, 400rm, 60°)</t>
  </si>
  <si>
    <t>180 mins</t>
  </si>
  <si>
    <t xml:space="preserve">240 mins </t>
  </si>
  <si>
    <t>15 mins</t>
  </si>
  <si>
    <t xml:space="preserve">120 mins </t>
  </si>
  <si>
    <t xml:space="preserve">180 mins </t>
  </si>
  <si>
    <t>H2SO4</t>
  </si>
  <si>
    <t>H2SO4 + Fe2(SO4)3</t>
  </si>
  <si>
    <t>Control</t>
  </si>
  <si>
    <t>R3</t>
  </si>
  <si>
    <t xml:space="preserve">C6H8O7 </t>
  </si>
  <si>
    <t xml:space="preserve">25g/L </t>
  </si>
  <si>
    <t>25g/L</t>
  </si>
  <si>
    <t>125g/L</t>
  </si>
  <si>
    <t>125g/L (25°)</t>
  </si>
  <si>
    <t xml:space="preserve"> (10:1, 400rm, 60°) 
Citric acid: 125 g/L
Acetic acid: 5% v/v
H2O2: 1% v/v</t>
  </si>
  <si>
    <t>Chemical</t>
  </si>
  <si>
    <t xml:space="preserve"> --TOTAL ug/l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</si>
</sst>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22" fontId="2" fillId="0" borderId="2" xfId="0" applyNumberFormat="1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righ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right" vertical="top"/>
    </xf>
    <xf numFmtId="0" fontId="2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right" vertical="top"/>
    </xf>
    <xf numFmtId="0" fontId="2" fillId="6" borderId="2" xfId="0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0" fontId="2" fillId="8" borderId="2" xfId="0" applyFont="1" applyFill="1" applyBorder="1" applyAlignment="1">
      <alignment horizontal="left" vertical="top"/>
    </xf>
    <xf numFmtId="0" fontId="2" fillId="8" borderId="2" xfId="0" applyFont="1" applyFill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 readingOrder="1"/>
    </xf>
    <xf numFmtId="0" fontId="1" fillId="7" borderId="1" xfId="0" applyFont="1" applyFill="1" applyBorder="1" applyAlignment="1">
      <alignment vertical="center"/>
    </xf>
    <xf numFmtId="0" fontId="2" fillId="8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 readingOrder="1"/>
    </xf>
    <xf numFmtId="0" fontId="2" fillId="0" borderId="6" xfId="0" applyFont="1" applyBorder="1" applyAlignment="1">
      <alignment horizontal="center" vertical="top" wrapText="1" readingOrder="1"/>
    </xf>
    <xf numFmtId="0" fontId="2" fillId="0" borderId="7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center" vertical="top" wrapText="1" readingOrder="1"/>
    </xf>
    <xf numFmtId="0" fontId="3" fillId="0" borderId="6" xfId="0" applyFont="1" applyBorder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+</a:t>
            </a:r>
            <a:r>
              <a:rPr lang="en-GB" baseline="0"/>
              <a:t> Acetic Acid + H2O2</a:t>
            </a:r>
            <a:r>
              <a:rPr lang="en-GB"/>
              <a:t> Time Variantions Copper</a:t>
            </a:r>
            <a:r>
              <a:rPr lang="en-GB" baseline="0"/>
              <a:t> Conc</a:t>
            </a:r>
            <a:endParaRPr lang="en-GB"/>
          </a:p>
        </c:rich>
      </c:tx>
      <c:layout>
        <c:manualLayout>
          <c:xMode val="edge"/>
          <c:yMode val="edge"/>
          <c:x val="0.14808884122285271"/>
          <c:y val="3.236994219653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'Graph View'!$E$13:$E$18</c:f>
              <c:strCache>
                <c:ptCount val="6"/>
                <c:pt idx="0">
                  <c:v>15 mins</c:v>
                </c:pt>
                <c:pt idx="1">
                  <c:v>30 mins</c:v>
                </c:pt>
                <c:pt idx="2">
                  <c:v>60 mins</c:v>
                </c:pt>
                <c:pt idx="3">
                  <c:v>120 mins </c:v>
                </c:pt>
                <c:pt idx="4">
                  <c:v>240 mins</c:v>
                </c:pt>
                <c:pt idx="5">
                  <c:v>300 mins</c:v>
                </c:pt>
              </c:strCache>
            </c:strRef>
          </c:cat>
          <c:val>
            <c:numRef>
              <c:f>'Graph View'!$N$13:$N$18</c:f>
              <c:numCache>
                <c:formatCode>General</c:formatCode>
                <c:ptCount val="6"/>
                <c:pt idx="0">
                  <c:v>35.345132713868701</c:v>
                </c:pt>
                <c:pt idx="1">
                  <c:v>29.346317897056</c:v>
                </c:pt>
                <c:pt idx="2">
                  <c:v>37.358868248062699</c:v>
                </c:pt>
                <c:pt idx="3">
                  <c:v>51.383352211553401</c:v>
                </c:pt>
                <c:pt idx="4">
                  <c:v>59.175357094185301</c:v>
                </c:pt>
                <c:pt idx="5">
                  <c:v>26.118043590382801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4-4FF5-AD5F-318ED08FC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77551"/>
        <c:axId val="534928767"/>
      </c:lineChart>
      <c:catAx>
        <c:axId val="17757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28767"/>
        <c:crosses val="autoZero"/>
        <c:auto val="1"/>
        <c:lblAlgn val="ctr"/>
        <c:lblOffset val="100"/>
        <c:noMultiLvlLbl val="0"/>
      </c:catAx>
      <c:valAx>
        <c:axId val="5349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Citric + Acetic Acid + H2O2 Time Variantions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'Graph View'!$E$13:$E$18</c:f>
              <c:strCache>
                <c:ptCount val="6"/>
                <c:pt idx="0">
                  <c:v>15 mins</c:v>
                </c:pt>
                <c:pt idx="1">
                  <c:v>30 mins</c:v>
                </c:pt>
                <c:pt idx="2">
                  <c:v>60 mins</c:v>
                </c:pt>
                <c:pt idx="3">
                  <c:v>120 mins </c:v>
                </c:pt>
                <c:pt idx="4">
                  <c:v>240 mins</c:v>
                </c:pt>
                <c:pt idx="5">
                  <c:v>300 mins</c:v>
                </c:pt>
              </c:strCache>
            </c:strRef>
          </c:cat>
          <c:val>
            <c:numRef>
              <c:f>'Graph View'!$Q$13:$Q$18</c:f>
              <c:numCache>
                <c:formatCode>General</c:formatCode>
                <c:ptCount val="6"/>
                <c:pt idx="0">
                  <c:v>8.2720466408185506E-2</c:v>
                </c:pt>
                <c:pt idx="1">
                  <c:v>9.68368728849891E-2</c:v>
                </c:pt>
                <c:pt idx="2">
                  <c:v>0.111916881024308</c:v>
                </c:pt>
                <c:pt idx="3">
                  <c:v>0.17478153467503699</c:v>
                </c:pt>
                <c:pt idx="4">
                  <c:v>0.16700191917518201</c:v>
                </c:pt>
                <c:pt idx="5">
                  <c:v>5.28990075942238E-2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2-4B71-9DD9-8AB90170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570687"/>
        <c:axId val="577572607"/>
      </c:lineChart>
      <c:catAx>
        <c:axId val="57757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72607"/>
        <c:crosses val="autoZero"/>
        <c:auto val="1"/>
        <c:lblAlgn val="ctr"/>
        <c:lblOffset val="100"/>
        <c:noMultiLvlLbl val="0"/>
      </c:catAx>
      <c:valAx>
        <c:axId val="5775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Time Variations Copper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'Graph View'!$E$19:$E$23</c:f>
              <c:strCache>
                <c:ptCount val="5"/>
                <c:pt idx="0">
                  <c:v>30 mins</c:v>
                </c:pt>
                <c:pt idx="1">
                  <c:v>60 mins</c:v>
                </c:pt>
                <c:pt idx="2">
                  <c:v>120 mins </c:v>
                </c:pt>
                <c:pt idx="3">
                  <c:v>180 mins </c:v>
                </c:pt>
                <c:pt idx="4">
                  <c:v>240 mins </c:v>
                </c:pt>
              </c:strCache>
            </c:strRef>
          </c:cat>
          <c:val>
            <c:numRef>
              <c:f>'Graph View'!$N$19:$N$23</c:f>
              <c:numCache>
                <c:formatCode>General</c:formatCode>
                <c:ptCount val="5"/>
                <c:pt idx="0">
                  <c:v>5.10921601266016</c:v>
                </c:pt>
                <c:pt idx="1">
                  <c:v>8.5695498205879908</c:v>
                </c:pt>
                <c:pt idx="2">
                  <c:v>8.0418802320529394</c:v>
                </c:pt>
                <c:pt idx="3">
                  <c:v>17.927463379009499</c:v>
                </c:pt>
                <c:pt idx="4">
                  <c:v>17.9236395987554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25-417D-82D5-9D181714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324815"/>
        <c:axId val="737325295"/>
      </c:lineChart>
      <c:catAx>
        <c:axId val="73732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25295"/>
        <c:crosses val="autoZero"/>
        <c:auto val="1"/>
        <c:lblAlgn val="ctr"/>
        <c:lblOffset val="100"/>
        <c:noMultiLvlLbl val="0"/>
      </c:catAx>
      <c:valAx>
        <c:axId val="7373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Time Variations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8C4-49EC-8BE4-5DBC0C41679A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8C4-49EC-8BE4-5DBC0C41679A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8C4-49EC-8BE4-5DBC0C41679A}"/>
              </c:ext>
            </c:extLst>
          </c:dPt>
          <c:dPt>
            <c:idx val="4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8C4-49EC-8BE4-5DBC0C41679A}"/>
              </c:ext>
            </c:extLst>
          </c:dPt>
          <c:cat>
            <c:strRef>
              <c:f>'Graph View'!$E$19:$E$23</c:f>
              <c:strCache>
                <c:ptCount val="5"/>
                <c:pt idx="0">
                  <c:v>30 mins</c:v>
                </c:pt>
                <c:pt idx="1">
                  <c:v>60 mins</c:v>
                </c:pt>
                <c:pt idx="2">
                  <c:v>120 mins </c:v>
                </c:pt>
                <c:pt idx="3">
                  <c:v>180 mins </c:v>
                </c:pt>
                <c:pt idx="4">
                  <c:v>240 mins </c:v>
                </c:pt>
              </c:strCache>
            </c:strRef>
          </c:cat>
          <c:val>
            <c:numRef>
              <c:f>'Graph View'!$Q$19:$Q$23</c:f>
              <c:numCache>
                <c:formatCode>General</c:formatCode>
                <c:ptCount val="5"/>
                <c:pt idx="0">
                  <c:v>5.9909381808838702E-2</c:v>
                </c:pt>
                <c:pt idx="1">
                  <c:v>6.6366383697632703E-2</c:v>
                </c:pt>
                <c:pt idx="2">
                  <c:v>0.109625183787091</c:v>
                </c:pt>
                <c:pt idx="3">
                  <c:v>0.129589473253652</c:v>
                </c:pt>
                <c:pt idx="4">
                  <c:v>7.6594041332341004E-2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4-49EC-8BE4-5DBC0C41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830911"/>
        <c:axId val="573831391"/>
      </c:lineChart>
      <c:catAx>
        <c:axId val="57383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(mins)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31391"/>
        <c:crosses val="autoZero"/>
        <c:auto val="1"/>
        <c:lblAlgn val="ctr"/>
        <c:lblOffset val="100"/>
        <c:noMultiLvlLbl val="0"/>
      </c:catAx>
      <c:valAx>
        <c:axId val="5738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3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Sulfuric Acid and Ferric Sulfate Copper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'Graph View'!$E$9:$E$12</c:f>
              <c:strCache>
                <c:ptCount val="4"/>
                <c:pt idx="0">
                  <c:v>Control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</c:strCache>
            </c:strRef>
          </c:cat>
          <c:val>
            <c:numRef>
              <c:f>'Graph View'!$N$9:$N$12</c:f>
              <c:numCache>
                <c:formatCode>General</c:formatCode>
                <c:ptCount val="4"/>
                <c:pt idx="0">
                  <c:v>3.6492004859321101</c:v>
                </c:pt>
                <c:pt idx="1">
                  <c:v>118.40802957552501</c:v>
                </c:pt>
                <c:pt idx="2">
                  <c:v>99.219080002477597</c:v>
                </c:pt>
                <c:pt idx="3">
                  <c:v>162.58404812875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7-45DD-946C-7B73925B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567855"/>
        <c:axId val="538568335"/>
      </c:barChart>
      <c:catAx>
        <c:axId val="53856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568335"/>
        <c:crosses val="autoZero"/>
        <c:auto val="1"/>
        <c:lblAlgn val="ctr"/>
        <c:lblOffset val="100"/>
        <c:noMultiLvlLbl val="0"/>
      </c:catAx>
      <c:valAx>
        <c:axId val="538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56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Sulfuric Acid and Ferric Sulfate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'Graph View'!$E$9:$E$12</c:f>
              <c:strCache>
                <c:ptCount val="4"/>
                <c:pt idx="0">
                  <c:v>Control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</c:strCache>
            </c:strRef>
          </c:cat>
          <c:val>
            <c:numRef>
              <c:f>'Graph View'!$Q$9:$Q$12</c:f>
              <c:numCache>
                <c:formatCode>General</c:formatCode>
                <c:ptCount val="4"/>
                <c:pt idx="0">
                  <c:v>0.81628349270710299</c:v>
                </c:pt>
                <c:pt idx="1">
                  <c:v>5.6608927552473203</c:v>
                </c:pt>
                <c:pt idx="2">
                  <c:v>1.3089589635430501</c:v>
                </c:pt>
                <c:pt idx="3">
                  <c:v>1.49519574065228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D-4BA3-8455-A966762A6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750031"/>
        <c:axId val="781747151"/>
      </c:barChart>
      <c:catAx>
        <c:axId val="78175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47151"/>
        <c:crosses val="autoZero"/>
        <c:auto val="1"/>
        <c:lblAlgn val="ctr"/>
        <c:lblOffset val="100"/>
        <c:noMultiLvlLbl val="0"/>
      </c:catAx>
      <c:valAx>
        <c:axId val="78174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Concentration Comparison at 60° (Cu conc)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View'!$E$24:$E$28</c:f>
              <c:strCache>
                <c:ptCount val="5"/>
                <c:pt idx="0">
                  <c:v>25g/L </c:v>
                </c:pt>
                <c:pt idx="1">
                  <c:v>25g/L</c:v>
                </c:pt>
                <c:pt idx="2">
                  <c:v>125g/L</c:v>
                </c:pt>
                <c:pt idx="3">
                  <c:v>125g/L</c:v>
                </c:pt>
                <c:pt idx="4">
                  <c:v>125g/L (25°)</c:v>
                </c:pt>
              </c:strCache>
            </c:strRef>
          </c:cat>
          <c:val>
            <c:numRef>
              <c:f>'Graph View'!$N$24:$N$28</c:f>
              <c:numCache>
                <c:formatCode>General</c:formatCode>
                <c:ptCount val="5"/>
                <c:pt idx="0">
                  <c:v>54.7401211550293</c:v>
                </c:pt>
                <c:pt idx="1">
                  <c:v>9.8951467799458808</c:v>
                </c:pt>
                <c:pt idx="2">
                  <c:v>9.0937862648593697</c:v>
                </c:pt>
                <c:pt idx="3">
                  <c:v>7.9540807659945898</c:v>
                </c:pt>
                <c:pt idx="4">
                  <c:v>7.3464350953055604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B-4E83-B9E8-8DB09CBF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216047"/>
        <c:axId val="441218447"/>
      </c:barChart>
      <c:catAx>
        <c:axId val="44121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18447"/>
        <c:crosses val="autoZero"/>
        <c:auto val="1"/>
        <c:lblAlgn val="ctr"/>
        <c:lblOffset val="100"/>
        <c:noMultiLvlLbl val="0"/>
      </c:catAx>
      <c:valAx>
        <c:axId val="4412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1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Concentration Comparison at 60° (Ag conc)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View'!$E$24:$E$28</c:f>
              <c:strCache>
                <c:ptCount val="5"/>
                <c:pt idx="0">
                  <c:v>25g/L </c:v>
                </c:pt>
                <c:pt idx="1">
                  <c:v>25g/L</c:v>
                </c:pt>
                <c:pt idx="2">
                  <c:v>125g/L</c:v>
                </c:pt>
                <c:pt idx="3">
                  <c:v>125g/L</c:v>
                </c:pt>
                <c:pt idx="4">
                  <c:v>125g/L (25°)</c:v>
                </c:pt>
              </c:strCache>
            </c:strRef>
          </c:cat>
          <c:val>
            <c:numRef>
              <c:f>'Graph View'!$Q$24:$Q$28</c:f>
              <c:numCache>
                <c:formatCode>General</c:formatCode>
                <c:ptCount val="5"/>
                <c:pt idx="0">
                  <c:v>8.9291007647591597E-2</c:v>
                </c:pt>
                <c:pt idx="1">
                  <c:v>5.4331068967025803E-2</c:v>
                </c:pt>
                <c:pt idx="2">
                  <c:v>4.5729259559399403E-2</c:v>
                </c:pt>
                <c:pt idx="3">
                  <c:v>3.7169542783959501E-2</c:v>
                </c:pt>
                <c:pt idx="4">
                  <c:v>8.6169401510914595E-2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3-4874-943F-6436C2F69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519311"/>
        <c:axId val="662520271"/>
      </c:barChart>
      <c:catAx>
        <c:axId val="66251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20271"/>
        <c:crosses val="autoZero"/>
        <c:auto val="1"/>
        <c:lblAlgn val="ctr"/>
        <c:lblOffset val="100"/>
        <c:noMultiLvlLbl val="0"/>
      </c:catAx>
      <c:valAx>
        <c:axId val="6625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+</a:t>
            </a:r>
            <a:r>
              <a:rPr lang="en-GB" baseline="0"/>
              <a:t> Acetic Acid + H2O2</a:t>
            </a:r>
            <a:r>
              <a:rPr lang="en-GB"/>
              <a:t> Time Variantions Copper</a:t>
            </a:r>
            <a:r>
              <a:rPr lang="en-GB" baseline="0"/>
              <a:t> Conc</a:t>
            </a:r>
            <a:endParaRPr lang="en-GB"/>
          </a:p>
        </c:rich>
      </c:tx>
      <c:layout>
        <c:manualLayout>
          <c:xMode val="edge"/>
          <c:yMode val="edge"/>
          <c:x val="0.14808884122285271"/>
          <c:y val="3.236994219653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'Graph View'!$E$13:$E$18</c:f>
              <c:strCache>
                <c:ptCount val="6"/>
                <c:pt idx="0">
                  <c:v>15 mins</c:v>
                </c:pt>
                <c:pt idx="1">
                  <c:v>30 mins</c:v>
                </c:pt>
                <c:pt idx="2">
                  <c:v>60 mins</c:v>
                </c:pt>
                <c:pt idx="3">
                  <c:v>120 mins </c:v>
                </c:pt>
                <c:pt idx="4">
                  <c:v>240 mins</c:v>
                </c:pt>
                <c:pt idx="5">
                  <c:v>300 mins</c:v>
                </c:pt>
              </c:strCache>
            </c:strRef>
          </c:cat>
          <c:val>
            <c:numRef>
              <c:f>'Graph View'!$N$13:$N$18</c:f>
              <c:numCache>
                <c:formatCode>General</c:formatCode>
                <c:ptCount val="6"/>
                <c:pt idx="0">
                  <c:v>35.345132713868701</c:v>
                </c:pt>
                <c:pt idx="1">
                  <c:v>29.346317897056</c:v>
                </c:pt>
                <c:pt idx="2">
                  <c:v>37.358868248062699</c:v>
                </c:pt>
                <c:pt idx="3">
                  <c:v>51.383352211553401</c:v>
                </c:pt>
                <c:pt idx="4">
                  <c:v>59.175357094185301</c:v>
                </c:pt>
                <c:pt idx="5">
                  <c:v>26.118043590382801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8-4678-B1C1-7FD3F9638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77551"/>
        <c:axId val="534928767"/>
      </c:lineChart>
      <c:catAx>
        <c:axId val="17757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28767"/>
        <c:crosses val="autoZero"/>
        <c:auto val="1"/>
        <c:lblAlgn val="ctr"/>
        <c:lblOffset val="100"/>
        <c:noMultiLvlLbl val="0"/>
      </c:catAx>
      <c:valAx>
        <c:axId val="5349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Citric + Acetic Acid + H2O2 Time Variantions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'Graph View'!$E$13:$E$18</c:f>
              <c:strCache>
                <c:ptCount val="6"/>
                <c:pt idx="0">
                  <c:v>15 mins</c:v>
                </c:pt>
                <c:pt idx="1">
                  <c:v>30 mins</c:v>
                </c:pt>
                <c:pt idx="2">
                  <c:v>60 mins</c:v>
                </c:pt>
                <c:pt idx="3">
                  <c:v>120 mins </c:v>
                </c:pt>
                <c:pt idx="4">
                  <c:v>240 mins</c:v>
                </c:pt>
                <c:pt idx="5">
                  <c:v>300 mins</c:v>
                </c:pt>
              </c:strCache>
            </c:strRef>
          </c:cat>
          <c:val>
            <c:numRef>
              <c:f>'Graph View'!$Q$13:$Q$18</c:f>
              <c:numCache>
                <c:formatCode>General</c:formatCode>
                <c:ptCount val="6"/>
                <c:pt idx="0">
                  <c:v>8.2720466408185506E-2</c:v>
                </c:pt>
                <c:pt idx="1">
                  <c:v>9.68368728849891E-2</c:v>
                </c:pt>
                <c:pt idx="2">
                  <c:v>0.111916881024308</c:v>
                </c:pt>
                <c:pt idx="3">
                  <c:v>0.17478153467503699</c:v>
                </c:pt>
                <c:pt idx="4">
                  <c:v>0.16700191917518201</c:v>
                </c:pt>
                <c:pt idx="5">
                  <c:v>5.28990075942238E-2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C-4736-BAB8-7A128538A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570687"/>
        <c:axId val="577572607"/>
      </c:lineChart>
      <c:catAx>
        <c:axId val="57757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72607"/>
        <c:crosses val="autoZero"/>
        <c:auto val="1"/>
        <c:lblAlgn val="ctr"/>
        <c:lblOffset val="100"/>
        <c:noMultiLvlLbl val="0"/>
      </c:catAx>
      <c:valAx>
        <c:axId val="5775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Time Variations Copper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'Graph View'!$E$19:$E$23</c:f>
              <c:strCache>
                <c:ptCount val="5"/>
                <c:pt idx="0">
                  <c:v>30 mins</c:v>
                </c:pt>
                <c:pt idx="1">
                  <c:v>60 mins</c:v>
                </c:pt>
                <c:pt idx="2">
                  <c:v>120 mins </c:v>
                </c:pt>
                <c:pt idx="3">
                  <c:v>180 mins </c:v>
                </c:pt>
                <c:pt idx="4">
                  <c:v>240 mins </c:v>
                </c:pt>
              </c:strCache>
            </c:strRef>
          </c:cat>
          <c:val>
            <c:numRef>
              <c:f>'Graph View'!$N$19:$N$23</c:f>
              <c:numCache>
                <c:formatCode>General</c:formatCode>
                <c:ptCount val="5"/>
                <c:pt idx="0">
                  <c:v>5.10921601266016</c:v>
                </c:pt>
                <c:pt idx="1">
                  <c:v>8.5695498205879908</c:v>
                </c:pt>
                <c:pt idx="2">
                  <c:v>8.0418802320529394</c:v>
                </c:pt>
                <c:pt idx="3">
                  <c:v>17.927463379009499</c:v>
                </c:pt>
                <c:pt idx="4">
                  <c:v>17.9236395987554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3A8-8C7B-F2FC00491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324815"/>
        <c:axId val="737325295"/>
      </c:lineChart>
      <c:catAx>
        <c:axId val="73732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25295"/>
        <c:crosses val="autoZero"/>
        <c:auto val="1"/>
        <c:lblAlgn val="ctr"/>
        <c:lblOffset val="100"/>
        <c:noMultiLvlLbl val="0"/>
      </c:catAx>
      <c:valAx>
        <c:axId val="7373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</a:t>
                </a: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Time Variations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1FA-4A6C-989F-5D644DB273DA}"/>
              </c:ext>
            </c:extLst>
          </c:dPt>
          <c:dPt>
            <c:idx val="2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1FA-4A6C-989F-5D644DB273DA}"/>
              </c:ext>
            </c:extLst>
          </c:dPt>
          <c:dPt>
            <c:idx val="3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1FA-4A6C-989F-5D644DB273DA}"/>
              </c:ext>
            </c:extLst>
          </c:dPt>
          <c:dPt>
            <c:idx val="4"/>
            <c:marker>
              <c:symbol val="x"/>
              <c:size val="5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1FA-4A6C-989F-5D644DB273DA}"/>
              </c:ext>
            </c:extLst>
          </c:dPt>
          <c:cat>
            <c:strRef>
              <c:f>'Graph View'!$E$19:$E$23</c:f>
              <c:strCache>
                <c:ptCount val="5"/>
                <c:pt idx="0">
                  <c:v>30 mins</c:v>
                </c:pt>
                <c:pt idx="1">
                  <c:v>60 mins</c:v>
                </c:pt>
                <c:pt idx="2">
                  <c:v>120 mins </c:v>
                </c:pt>
                <c:pt idx="3">
                  <c:v>180 mins </c:v>
                </c:pt>
                <c:pt idx="4">
                  <c:v>240 mins </c:v>
                </c:pt>
              </c:strCache>
            </c:strRef>
          </c:cat>
          <c:val>
            <c:numRef>
              <c:f>'Graph View'!$Q$19:$Q$23</c:f>
              <c:numCache>
                <c:formatCode>General</c:formatCode>
                <c:ptCount val="5"/>
                <c:pt idx="0">
                  <c:v>5.9909381808838702E-2</c:v>
                </c:pt>
                <c:pt idx="1">
                  <c:v>6.6366383697632703E-2</c:v>
                </c:pt>
                <c:pt idx="2">
                  <c:v>0.109625183787091</c:v>
                </c:pt>
                <c:pt idx="3">
                  <c:v>0.129589473253652</c:v>
                </c:pt>
                <c:pt idx="4">
                  <c:v>7.6594041332341004E-2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FA-4A6C-989F-5D644DB27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830911"/>
        <c:axId val="573831391"/>
      </c:lineChart>
      <c:catAx>
        <c:axId val="57383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(mins)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31391"/>
        <c:crosses val="autoZero"/>
        <c:auto val="1"/>
        <c:lblAlgn val="ctr"/>
        <c:lblOffset val="100"/>
        <c:noMultiLvlLbl val="0"/>
      </c:catAx>
      <c:valAx>
        <c:axId val="5738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3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Sulfuric Acid and Ferric Sulfate Copper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'Graph View'!$E$9:$E$12</c:f>
              <c:strCache>
                <c:ptCount val="4"/>
                <c:pt idx="0">
                  <c:v>Control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</c:strCache>
            </c:strRef>
          </c:cat>
          <c:val>
            <c:numRef>
              <c:f>'Graph View'!$N$9:$N$12</c:f>
              <c:numCache>
                <c:formatCode>General</c:formatCode>
                <c:ptCount val="4"/>
                <c:pt idx="0">
                  <c:v>3.6492004859321101</c:v>
                </c:pt>
                <c:pt idx="1">
                  <c:v>118.40802957552501</c:v>
                </c:pt>
                <c:pt idx="2">
                  <c:v>99.219080002477597</c:v>
                </c:pt>
                <c:pt idx="3">
                  <c:v>162.58404812875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6-4469-88F2-6D75CC86F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567855"/>
        <c:axId val="538568335"/>
      </c:barChart>
      <c:catAx>
        <c:axId val="53856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568335"/>
        <c:crosses val="autoZero"/>
        <c:auto val="1"/>
        <c:lblAlgn val="ctr"/>
        <c:lblOffset val="100"/>
        <c:noMultiLvlLbl val="0"/>
      </c:catAx>
      <c:valAx>
        <c:axId val="538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56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Sulfuric Acid and Ferric Sulfate Silver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'Graph View'!$E$9:$E$12</c:f>
              <c:strCache>
                <c:ptCount val="4"/>
                <c:pt idx="0">
                  <c:v>Control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</c:strCache>
            </c:strRef>
          </c:cat>
          <c:val>
            <c:numRef>
              <c:f>'Graph View'!$Q$9:$Q$12</c:f>
              <c:numCache>
                <c:formatCode>General</c:formatCode>
                <c:ptCount val="4"/>
                <c:pt idx="0">
                  <c:v>0.81628349270710299</c:v>
                </c:pt>
                <c:pt idx="1">
                  <c:v>5.6608927552473203</c:v>
                </c:pt>
                <c:pt idx="2">
                  <c:v>1.3089589635430501</c:v>
                </c:pt>
                <c:pt idx="3">
                  <c:v>1.49519574065228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C-46F7-B419-37E2316E4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750031"/>
        <c:axId val="781747151"/>
      </c:barChart>
      <c:catAx>
        <c:axId val="78175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47151"/>
        <c:crosses val="autoZero"/>
        <c:auto val="1"/>
        <c:lblAlgn val="ctr"/>
        <c:lblOffset val="100"/>
        <c:noMultiLvlLbl val="0"/>
      </c:catAx>
      <c:valAx>
        <c:axId val="78174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Concentration Comparison at 60° (Cu conc)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View'!$E$24:$E$28</c:f>
              <c:strCache>
                <c:ptCount val="5"/>
                <c:pt idx="0">
                  <c:v>25g/L </c:v>
                </c:pt>
                <c:pt idx="1">
                  <c:v>25g/L</c:v>
                </c:pt>
                <c:pt idx="2">
                  <c:v>125g/L</c:v>
                </c:pt>
                <c:pt idx="3">
                  <c:v>125g/L</c:v>
                </c:pt>
                <c:pt idx="4">
                  <c:v>125g/L (25°)</c:v>
                </c:pt>
              </c:strCache>
            </c:strRef>
          </c:cat>
          <c:val>
            <c:numRef>
              <c:f>'Graph View'!$N$24:$N$28</c:f>
              <c:numCache>
                <c:formatCode>General</c:formatCode>
                <c:ptCount val="5"/>
                <c:pt idx="0">
                  <c:v>54.7401211550293</c:v>
                </c:pt>
                <c:pt idx="1">
                  <c:v>9.8951467799458808</c:v>
                </c:pt>
                <c:pt idx="2">
                  <c:v>9.0937862648593697</c:v>
                </c:pt>
                <c:pt idx="3">
                  <c:v>7.9540807659945898</c:v>
                </c:pt>
                <c:pt idx="4">
                  <c:v>7.3464350953055604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9-4C6F-BC77-5C98CF0E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216047"/>
        <c:axId val="441218447"/>
      </c:barChart>
      <c:catAx>
        <c:axId val="44121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18447"/>
        <c:crosses val="autoZero"/>
        <c:auto val="1"/>
        <c:lblAlgn val="ctr"/>
        <c:lblOffset val="100"/>
        <c:noMultiLvlLbl val="0"/>
      </c:catAx>
      <c:valAx>
        <c:axId val="4412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1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Citric Acid Concentration Comparison at 60° (Ag conc)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'Graph View'!$E$24:$E$28</c:f>
              <c:strCache>
                <c:ptCount val="5"/>
                <c:pt idx="0">
                  <c:v>25g/L </c:v>
                </c:pt>
                <c:pt idx="1">
                  <c:v>25g/L</c:v>
                </c:pt>
                <c:pt idx="2">
                  <c:v>125g/L</c:v>
                </c:pt>
                <c:pt idx="3">
                  <c:v>125g/L</c:v>
                </c:pt>
                <c:pt idx="4">
                  <c:v>125g/L (25°)</c:v>
                </c:pt>
              </c:strCache>
            </c:strRef>
          </c:cat>
          <c:val>
            <c:numRef>
              <c:f>'Graph View'!$Q$24:$Q$28</c:f>
              <c:numCache>
                <c:formatCode>General</c:formatCode>
                <c:ptCount val="5"/>
                <c:pt idx="0">
                  <c:v>8.9291007647591597E-2</c:v>
                </c:pt>
                <c:pt idx="1">
                  <c:v>5.4331068967025803E-2</c:v>
                </c:pt>
                <c:pt idx="2">
                  <c:v>4.5729259559399403E-2</c:v>
                </c:pt>
                <c:pt idx="3">
                  <c:v>3.7169542783959501E-2</c:v>
                </c:pt>
                <c:pt idx="4">
                  <c:v>8.6169401510914595E-2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4-4D03-9D03-458AE167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519311"/>
        <c:axId val="662520271"/>
      </c:barChart>
      <c:catAx>
        <c:axId val="66251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20271"/>
        <c:crosses val="autoZero"/>
        <c:auto val="1"/>
        <c:lblAlgn val="ctr"/>
        <c:lblOffset val="100"/>
        <c:noMultiLvlLbl val="0"/>
      </c:catAx>
      <c:valAx>
        <c:axId val="66252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 Conc. [ ug/l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51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397808</xdr:colOff>
      <xdr:row>15</xdr:row>
      <xdr:rowOff>133163</xdr:rowOff>
    </xdr:from>
    <xdr:to>
      <xdr:col>25</xdr:col>
      <xdr:colOff>128867</xdr:colOff>
      <xdr:row>31</xdr:row>
      <xdr:rowOff>7657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38337-CEC3-F13F-1FCF-A429E5AD5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217767</xdr:colOff>
      <xdr:row>15</xdr:row>
      <xdr:rowOff>155574</xdr:rowOff>
    </xdr:from>
    <xdr:to>
      <xdr:col>32</xdr:col>
      <xdr:colOff>560293</xdr:colOff>
      <xdr:row>31</xdr:row>
      <xdr:rowOff>26893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A6209A-7C61-C42B-2596-AD800EC6D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440203</xdr:colOff>
      <xdr:row>31</xdr:row>
      <xdr:rowOff>83484</xdr:rowOff>
    </xdr:from>
    <xdr:to>
      <xdr:col>25</xdr:col>
      <xdr:colOff>168087</xdr:colOff>
      <xdr:row>46</xdr:row>
      <xdr:rowOff>130923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8DC01A-CFBE-D908-3FDD-50B4294BC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254000</xdr:colOff>
      <xdr:row>31</xdr:row>
      <xdr:rowOff>95250</xdr:rowOff>
    </xdr:from>
    <xdr:to>
      <xdr:col>32</xdr:col>
      <xdr:colOff>558800</xdr:colOff>
      <xdr:row>46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A45E01-2689-9DDC-24E3-D7E266D30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197783</xdr:colOff>
      <xdr:row>0</xdr:row>
      <xdr:rowOff>1</xdr:rowOff>
    </xdr:from>
    <xdr:to>
      <xdr:col>24</xdr:col>
      <xdr:colOff>593912</xdr:colOff>
      <xdr:row>15</xdr:row>
      <xdr:rowOff>33617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5FA4B7F-A033-4DA3-E355-4C9678BE1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148104</xdr:colOff>
      <xdr:row>0</xdr:row>
      <xdr:rowOff>0</xdr:rowOff>
    </xdr:from>
    <xdr:to>
      <xdr:col>32</xdr:col>
      <xdr:colOff>484281</xdr:colOff>
      <xdr:row>15</xdr:row>
      <xdr:rowOff>53788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A7E6D89-A49E-29BA-B0BC-2CFAFACF5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164913</xdr:colOff>
      <xdr:row>29</xdr:row>
      <xdr:rowOff>138020</xdr:rowOff>
    </xdr:from>
    <xdr:to>
      <xdr:col>7</xdr:col>
      <xdr:colOff>140073</xdr:colOff>
      <xdr:row>47</xdr:row>
      <xdr:rowOff>41648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DA32607-9B57-E483-F146-A3545F978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156882</xdr:colOff>
      <xdr:row>30</xdr:row>
      <xdr:rowOff>29135</xdr:rowOff>
    </xdr:from>
    <xdr:to>
      <xdr:col>16</xdr:col>
      <xdr:colOff>296208</xdr:colOff>
      <xdr:row>47</xdr:row>
      <xdr:rowOff>78440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55D3E10-C653-447D-823F-E472A3F73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94515</xdr:colOff>
      <xdr:row>16</xdr:row>
      <xdr:rowOff>69251</xdr:rowOff>
    </xdr:from>
    <xdr:to>
      <xdr:col>7</xdr:col>
      <xdr:colOff>453646</xdr:colOff>
      <xdr:row>31</xdr:row>
      <xdr:rowOff>134409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F56E0-32EE-4D05-859B-46E615604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61760</xdr:colOff>
      <xdr:row>16</xdr:row>
      <xdr:rowOff>127948</xdr:rowOff>
    </xdr:from>
    <xdr:to>
      <xdr:col>15</xdr:col>
      <xdr:colOff>418635</xdr:colOff>
      <xdr:row>32</xdr:row>
      <xdr:rowOff>8503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526B4-5523-4A60-92B1-E72AEB748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236697</xdr:colOff>
      <xdr:row>0</xdr:row>
      <xdr:rowOff>110450</xdr:rowOff>
    </xdr:from>
    <xdr:to>
      <xdr:col>23</xdr:col>
      <xdr:colOff>592653</xdr:colOff>
      <xdr:row>15</xdr:row>
      <xdr:rowOff>166548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C36B08-1286-4D91-903C-D3813CE26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70780</xdr:colOff>
      <xdr:row>0</xdr:row>
      <xdr:rowOff>122216</xdr:rowOff>
    </xdr:from>
    <xdr:to>
      <xdr:col>31</xdr:col>
      <xdr:colOff>389929</xdr:colOff>
      <xdr:row>15</xdr:row>
      <xdr:rowOff>156275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B5D2F-B41D-4BCC-A1E0-685318748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59589</xdr:colOff>
      <xdr:row>0</xdr:row>
      <xdr:rowOff>81644</xdr:rowOff>
    </xdr:from>
    <xdr:to>
      <xdr:col>7</xdr:col>
      <xdr:colOff>470067</xdr:colOff>
      <xdr:row>15</xdr:row>
      <xdr:rowOff>123919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2283C8-7403-4823-8889-377561B2F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55596</xdr:colOff>
      <xdr:row>0</xdr:row>
      <xdr:rowOff>63500</xdr:rowOff>
    </xdr:from>
    <xdr:to>
      <xdr:col>15</xdr:col>
      <xdr:colOff>406122</xdr:colOff>
      <xdr:row>15</xdr:row>
      <xdr:rowOff>125947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76337C-8CBA-4918-8476-36A6066ED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190502</xdr:colOff>
      <xdr:row>16</xdr:row>
      <xdr:rowOff>136619</xdr:rowOff>
    </xdr:from>
    <xdr:to>
      <xdr:col>24</xdr:col>
      <xdr:colOff>81644</xdr:colOff>
      <xdr:row>32</xdr:row>
      <xdr:rowOff>27215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EEFE3C-AA73-4386-B70E-66CA47920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161195</xdr:colOff>
      <xdr:row>16</xdr:row>
      <xdr:rowOff>119026</xdr:rowOff>
    </xdr:from>
    <xdr:to>
      <xdr:col>31</xdr:col>
      <xdr:colOff>390073</xdr:colOff>
      <xdr:row>32</xdr:row>
      <xdr:rowOff>63501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B43C5A-6221-431A-A305-09A47CE75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V33"/>
  <sheetViews>
    <sheetView topLeftCell="A3" zoomScaleNormal="100" workbookViewId="0">
      <pane xSplit="8" topLeftCell="I1" activePane="topRight" state="frozen"/>
      <selection pane="topRight" activeCell="E41" sqref="E41"/>
    </sheetView>
  </sheetViews>
  <sheetFormatPr defaultColWidth="9.1796875" defaultRowHeight="14.5" x14ac:dyDescent="0.35"/>
  <cols>
    <col min="1" max="1" width="3" customWidth="1"/>
    <col min="2" max="2" width="3.08984375" customWidth="1"/>
    <col min="3" max="3" width="9.26953125" customWidth="1"/>
    <col min="4" max="4" width="21.1796875" customWidth="1"/>
    <col min="5" max="5" width="11" customWidth="1"/>
    <col min="6" max="6" width="5.81640625" customWidth="1"/>
    <col min="7" max="7" width="9.1796875" customWidth="1"/>
    <col min="8" max="8" width="38.90625" customWidth="1"/>
    <col min="9" max="9" width="8.7265625" customWidth="1"/>
    <col min="10" max="10" width="9" customWidth="1"/>
    <col min="11" max="11" width="11" customWidth="1"/>
    <col min="12" max="12" width="10.7265625" customWidth="1"/>
    <col min="13" max="13" width="9" customWidth="1"/>
    <col min="14" max="14" width="11" customWidth="1"/>
    <col min="15" max="15" width="9.7265625" customWidth="1"/>
    <col min="16" max="16" width="9" customWidth="1"/>
    <col min="17" max="17" width="11" customWidth="1"/>
    <col min="18" max="18" width="9.7265625" customWidth="1"/>
    <col min="19" max="19" width="9" customWidth="1"/>
    <col min="20" max="20" width="11" customWidth="1"/>
    <col min="21" max="21" width="9.7265625" customWidth="1"/>
    <col min="22" max="22" width="9" customWidth="1"/>
    <col min="23" max="23" width="11" customWidth="1"/>
    <col min="24" max="24" width="10.7265625" customWidth="1"/>
    <col min="25" max="25" width="9" customWidth="1"/>
    <col min="26" max="26" width="11" customWidth="1"/>
    <col min="27" max="27" width="10.7265625" customWidth="1"/>
    <col min="28" max="28" width="9" customWidth="1"/>
    <col min="29" max="29" width="11" customWidth="1"/>
    <col min="30" max="30" width="11.7265625" customWidth="1"/>
    <col min="31" max="31" width="9" customWidth="1"/>
    <col min="32" max="32" width="11" customWidth="1"/>
    <col min="33" max="33" width="11.7265625" customWidth="1"/>
    <col min="34" max="34" width="9" customWidth="1"/>
    <col min="35" max="35" width="11" customWidth="1"/>
    <col min="36" max="36" width="11.7265625" customWidth="1"/>
    <col min="37" max="37" width="9" customWidth="1"/>
    <col min="38" max="38" width="11" customWidth="1"/>
    <col min="39" max="39" width="10.7265625" customWidth="1"/>
    <col min="40" max="40" width="9" customWidth="1"/>
    <col min="41" max="41" width="11" customWidth="1"/>
    <col min="42" max="42" width="11.7265625" customWidth="1"/>
    <col min="43" max="43" width="9" customWidth="1"/>
    <col min="44" max="44" width="11" customWidth="1"/>
    <col min="45" max="45" width="10.7265625" customWidth="1"/>
    <col min="46" max="46" width="9" customWidth="1"/>
    <col min="47" max="47" width="11" customWidth="1"/>
    <col min="48" max="48" width="11.7265625" customWidth="1"/>
    <col min="49" max="49" width="9" customWidth="1"/>
    <col min="50" max="50" width="11" customWidth="1"/>
    <col min="51" max="51" width="10.7265625" customWidth="1"/>
    <col min="52" max="52" width="9" customWidth="1"/>
    <col min="53" max="53" width="11" customWidth="1"/>
    <col min="54" max="54" width="10.7265625" customWidth="1"/>
    <col min="55" max="55" width="9" customWidth="1"/>
    <col min="56" max="56" width="11" customWidth="1"/>
    <col min="57" max="57" width="11.7265625" customWidth="1"/>
    <col min="58" max="58" width="9" customWidth="1"/>
    <col min="59" max="59" width="11" customWidth="1"/>
    <col min="60" max="60" width="11.7265625" customWidth="1"/>
    <col min="61" max="61" width="9" customWidth="1"/>
    <col min="62" max="62" width="11" customWidth="1"/>
    <col min="63" max="63" width="10.7265625" customWidth="1"/>
    <col min="64" max="64" width="9" customWidth="1"/>
    <col min="65" max="65" width="9.7265625" customWidth="1"/>
    <col min="66" max="66" width="9" customWidth="1"/>
    <col min="67" max="67" width="11.7265625" customWidth="1"/>
    <col min="68" max="68" width="9" customWidth="1"/>
    <col min="69" max="69" width="10.7265625" customWidth="1"/>
    <col min="70" max="70" width="9" customWidth="1"/>
    <col min="71" max="71" width="10.7265625" customWidth="1"/>
    <col min="72" max="72" width="9" customWidth="1"/>
    <col min="73" max="73" width="10.7265625" customWidth="1"/>
    <col min="74" max="74" width="9" customWidth="1"/>
  </cols>
  <sheetData>
    <row r="1" spans="1:74" ht="18" customHeight="1" x14ac:dyDescent="0.35">
      <c r="A1" s="27" t="s">
        <v>21</v>
      </c>
      <c r="B1" s="28"/>
      <c r="C1" s="28"/>
      <c r="D1" s="28"/>
      <c r="E1" s="28"/>
      <c r="F1" s="28"/>
      <c r="G1" s="29"/>
      <c r="H1" s="2"/>
      <c r="I1" s="27" t="s">
        <v>24</v>
      </c>
      <c r="J1" s="28"/>
      <c r="K1" s="29"/>
      <c r="L1" s="27" t="s">
        <v>101</v>
      </c>
      <c r="M1" s="28"/>
      <c r="N1" s="29"/>
      <c r="O1" s="27" t="s">
        <v>6</v>
      </c>
      <c r="P1" s="28"/>
      <c r="Q1" s="29"/>
      <c r="R1" s="27" t="s">
        <v>63</v>
      </c>
      <c r="S1" s="28"/>
      <c r="T1" s="29"/>
      <c r="U1" s="27" t="s">
        <v>46</v>
      </c>
      <c r="V1" s="28"/>
      <c r="W1" s="29"/>
      <c r="X1" s="27" t="s">
        <v>82</v>
      </c>
      <c r="Y1" s="28"/>
      <c r="Z1" s="29"/>
      <c r="AA1" s="27" t="s">
        <v>14</v>
      </c>
      <c r="AB1" s="28"/>
      <c r="AC1" s="29"/>
      <c r="AD1" s="30" t="s">
        <v>75</v>
      </c>
      <c r="AE1" s="31"/>
      <c r="AF1" s="32"/>
      <c r="AG1" s="30" t="s">
        <v>9</v>
      </c>
      <c r="AH1" s="31"/>
      <c r="AI1" s="32"/>
      <c r="AJ1" s="27" t="s">
        <v>61</v>
      </c>
      <c r="AK1" s="28"/>
      <c r="AL1" s="29"/>
      <c r="AM1" s="27" t="s">
        <v>45</v>
      </c>
      <c r="AN1" s="28"/>
      <c r="AO1" s="29"/>
      <c r="AP1" s="30" t="s">
        <v>65</v>
      </c>
      <c r="AQ1" s="31"/>
      <c r="AR1" s="32"/>
      <c r="AS1" s="27" t="s">
        <v>64</v>
      </c>
      <c r="AT1" s="28"/>
      <c r="AU1" s="29"/>
      <c r="AV1" s="30" t="s">
        <v>15</v>
      </c>
      <c r="AW1" s="31"/>
      <c r="AX1" s="32"/>
      <c r="AY1" s="27" t="s">
        <v>78</v>
      </c>
      <c r="AZ1" s="28"/>
      <c r="BA1" s="29"/>
      <c r="BB1" s="27" t="s">
        <v>26</v>
      </c>
      <c r="BC1" s="28"/>
      <c r="BD1" s="29"/>
      <c r="BE1" s="27" t="s">
        <v>57</v>
      </c>
      <c r="BF1" s="28"/>
      <c r="BG1" s="29"/>
      <c r="BH1" s="27" t="s">
        <v>110</v>
      </c>
      <c r="BI1" s="28"/>
      <c r="BJ1" s="29"/>
      <c r="BK1" s="27" t="s">
        <v>69</v>
      </c>
      <c r="BL1" s="29"/>
      <c r="BM1" s="27" t="s">
        <v>40</v>
      </c>
      <c r="BN1" s="29"/>
      <c r="BO1" s="27" t="s">
        <v>67</v>
      </c>
      <c r="BP1" s="29"/>
      <c r="BQ1" s="27" t="s">
        <v>10</v>
      </c>
      <c r="BR1" s="29"/>
      <c r="BS1" s="27" t="s">
        <v>102</v>
      </c>
      <c r="BT1" s="29"/>
      <c r="BU1" s="27" t="s">
        <v>17</v>
      </c>
      <c r="BV1" s="29"/>
    </row>
    <row r="2" spans="1:74" ht="18" customHeight="1" x14ac:dyDescent="0.35">
      <c r="A2" s="8" t="s">
        <v>97</v>
      </c>
      <c r="B2" s="8" t="s">
        <v>113</v>
      </c>
      <c r="C2" s="8" t="s">
        <v>44</v>
      </c>
      <c r="D2" s="8" t="s">
        <v>60</v>
      </c>
      <c r="E2" s="8" t="s">
        <v>55</v>
      </c>
      <c r="F2" s="8" t="s">
        <v>22</v>
      </c>
      <c r="G2" s="8" t="s">
        <v>95</v>
      </c>
      <c r="H2" s="8" t="s">
        <v>118</v>
      </c>
      <c r="I2" s="8" t="s">
        <v>89</v>
      </c>
      <c r="J2" s="8" t="s">
        <v>86</v>
      </c>
      <c r="K2" s="8" t="s">
        <v>43</v>
      </c>
      <c r="L2" s="8" t="s">
        <v>89</v>
      </c>
      <c r="M2" s="8" t="s">
        <v>86</v>
      </c>
      <c r="N2" s="8" t="s">
        <v>43</v>
      </c>
      <c r="O2" s="8" t="s">
        <v>89</v>
      </c>
      <c r="P2" s="8" t="s">
        <v>86</v>
      </c>
      <c r="Q2" s="8" t="s">
        <v>43</v>
      </c>
      <c r="R2" s="8" t="s">
        <v>89</v>
      </c>
      <c r="S2" s="8" t="s">
        <v>86</v>
      </c>
      <c r="T2" s="8" t="s">
        <v>43</v>
      </c>
      <c r="U2" s="8" t="s">
        <v>89</v>
      </c>
      <c r="V2" s="8" t="s">
        <v>86</v>
      </c>
      <c r="W2" s="8" t="s">
        <v>43</v>
      </c>
      <c r="X2" s="8" t="s">
        <v>89</v>
      </c>
      <c r="Y2" s="8" t="s">
        <v>86</v>
      </c>
      <c r="Z2" s="8" t="s">
        <v>43</v>
      </c>
      <c r="AA2" s="8" t="s">
        <v>89</v>
      </c>
      <c r="AB2" s="8" t="s">
        <v>86</v>
      </c>
      <c r="AC2" s="8" t="s">
        <v>43</v>
      </c>
      <c r="AD2" s="8" t="s">
        <v>89</v>
      </c>
      <c r="AE2" s="8" t="s">
        <v>86</v>
      </c>
      <c r="AF2" s="8" t="s">
        <v>43</v>
      </c>
      <c r="AG2" s="8" t="s">
        <v>89</v>
      </c>
      <c r="AH2" s="8" t="s">
        <v>86</v>
      </c>
      <c r="AI2" s="8" t="s">
        <v>43</v>
      </c>
      <c r="AJ2" s="8" t="s">
        <v>89</v>
      </c>
      <c r="AK2" s="8" t="s">
        <v>86</v>
      </c>
      <c r="AL2" s="8" t="s">
        <v>43</v>
      </c>
      <c r="AM2" s="8" t="s">
        <v>89</v>
      </c>
      <c r="AN2" s="8" t="s">
        <v>86</v>
      </c>
      <c r="AO2" s="8" t="s">
        <v>43</v>
      </c>
      <c r="AP2" s="8" t="s">
        <v>89</v>
      </c>
      <c r="AQ2" s="8" t="s">
        <v>86</v>
      </c>
      <c r="AR2" s="8" t="s">
        <v>43</v>
      </c>
      <c r="AS2" s="8" t="s">
        <v>89</v>
      </c>
      <c r="AT2" s="8" t="s">
        <v>86</v>
      </c>
      <c r="AU2" s="8" t="s">
        <v>43</v>
      </c>
      <c r="AV2" s="8" t="s">
        <v>89</v>
      </c>
      <c r="AW2" s="8" t="s">
        <v>86</v>
      </c>
      <c r="AX2" s="8" t="s">
        <v>43</v>
      </c>
      <c r="AY2" s="8" t="s">
        <v>89</v>
      </c>
      <c r="AZ2" s="8" t="s">
        <v>86</v>
      </c>
      <c r="BA2" s="8" t="s">
        <v>43</v>
      </c>
      <c r="BB2" s="8" t="s">
        <v>89</v>
      </c>
      <c r="BC2" s="8" t="s">
        <v>86</v>
      </c>
      <c r="BD2" s="8" t="s">
        <v>43</v>
      </c>
      <c r="BE2" s="8" t="s">
        <v>89</v>
      </c>
      <c r="BF2" s="8" t="s">
        <v>86</v>
      </c>
      <c r="BG2" s="8" t="s">
        <v>43</v>
      </c>
      <c r="BH2" s="8" t="s">
        <v>89</v>
      </c>
      <c r="BI2" s="8" t="s">
        <v>86</v>
      </c>
      <c r="BJ2" s="8" t="s">
        <v>43</v>
      </c>
      <c r="BK2" s="8" t="s">
        <v>89</v>
      </c>
      <c r="BL2" s="8" t="s">
        <v>86</v>
      </c>
      <c r="BM2" s="8" t="s">
        <v>89</v>
      </c>
      <c r="BN2" s="8" t="s">
        <v>86</v>
      </c>
      <c r="BO2" s="8" t="s">
        <v>89</v>
      </c>
      <c r="BP2" s="8" t="s">
        <v>86</v>
      </c>
      <c r="BQ2" s="8" t="s">
        <v>89</v>
      </c>
      <c r="BR2" s="8" t="s">
        <v>86</v>
      </c>
      <c r="BS2" s="8" t="s">
        <v>89</v>
      </c>
      <c r="BT2" s="8" t="s">
        <v>86</v>
      </c>
      <c r="BU2" s="8" t="s">
        <v>89</v>
      </c>
      <c r="BV2" s="8" t="s">
        <v>86</v>
      </c>
    </row>
    <row r="3" spans="1:74" x14ac:dyDescent="0.35">
      <c r="A3" s="4"/>
      <c r="B3" s="4" t="b">
        <v>0</v>
      </c>
      <c r="C3" s="4" t="s">
        <v>108</v>
      </c>
      <c r="D3" s="1">
        <v>46141.587858796302</v>
      </c>
      <c r="E3" s="6" t="s">
        <v>21</v>
      </c>
      <c r="F3" s="7"/>
      <c r="G3" s="4" t="s">
        <v>70</v>
      </c>
      <c r="H3" s="4"/>
      <c r="I3" s="5">
        <v>8.3333333333333304</v>
      </c>
      <c r="J3" s="5">
        <v>69.282032302755098</v>
      </c>
      <c r="K3" s="5"/>
      <c r="L3" s="7">
        <v>37101.613333333298</v>
      </c>
      <c r="M3" s="7">
        <v>0.67462203971481705</v>
      </c>
      <c r="N3" s="7"/>
      <c r="O3" s="5">
        <v>58.3333333333333</v>
      </c>
      <c r="P3" s="5">
        <v>34.641016151377499</v>
      </c>
      <c r="Q3" s="5"/>
      <c r="R3" s="7">
        <v>43.3333333333333</v>
      </c>
      <c r="S3" s="7">
        <v>54.528641841376299</v>
      </c>
      <c r="T3" s="7"/>
      <c r="U3" s="5">
        <v>5269.39</v>
      </c>
      <c r="V3" s="5">
        <v>6.5163950003348896</v>
      </c>
      <c r="W3" s="5"/>
      <c r="X3" s="7">
        <v>3235.4133333333298</v>
      </c>
      <c r="Y3" s="7">
        <v>1.0711289933718</v>
      </c>
      <c r="Z3" s="7"/>
      <c r="AA3" s="5">
        <v>205.00333333333299</v>
      </c>
      <c r="AB3" s="5">
        <v>13.5823206372801</v>
      </c>
      <c r="AC3" s="5"/>
      <c r="AD3" s="7">
        <v>26921.903333333299</v>
      </c>
      <c r="AE3" s="7">
        <v>0.55178792815330302</v>
      </c>
      <c r="AF3" s="7"/>
      <c r="AG3" s="5">
        <v>12507.266666666699</v>
      </c>
      <c r="AH3" s="5">
        <v>0.54514862657274299</v>
      </c>
      <c r="AI3" s="5"/>
      <c r="AJ3" s="7">
        <v>150</v>
      </c>
      <c r="AK3" s="7">
        <v>13.3333333333333</v>
      </c>
      <c r="AL3" s="7"/>
      <c r="AM3" s="5">
        <v>586.69000000000005</v>
      </c>
      <c r="AN3" s="5">
        <v>4.6946423656679999</v>
      </c>
      <c r="AO3" s="5"/>
      <c r="AP3" s="7">
        <v>378.34333333333302</v>
      </c>
      <c r="AQ3" s="7">
        <v>5.3409846669172998</v>
      </c>
      <c r="AR3" s="7"/>
      <c r="AS3" s="5">
        <v>538.35333333333301</v>
      </c>
      <c r="AT3" s="5">
        <v>3.51622128329605</v>
      </c>
      <c r="AU3" s="5"/>
      <c r="AV3" s="7">
        <v>470.02666666666698</v>
      </c>
      <c r="AW3" s="7">
        <v>21.276452408728201</v>
      </c>
      <c r="AX3" s="7"/>
      <c r="AY3" s="5">
        <v>8.3333333333333304</v>
      </c>
      <c r="AZ3" s="5">
        <v>34.641016151377499</v>
      </c>
      <c r="BA3" s="5"/>
      <c r="BB3" s="7">
        <v>8.3333333333333304</v>
      </c>
      <c r="BC3" s="7">
        <v>124.899959967968</v>
      </c>
      <c r="BD3" s="7"/>
      <c r="BE3" s="5">
        <v>221.67666666666699</v>
      </c>
      <c r="BF3" s="5">
        <v>18.7811015996223</v>
      </c>
      <c r="BG3" s="5"/>
      <c r="BH3" s="7">
        <v>765.04</v>
      </c>
      <c r="BI3" s="7">
        <v>13.056040617800701</v>
      </c>
      <c r="BJ3" s="7"/>
      <c r="BK3" s="5">
        <v>73333.740000000005</v>
      </c>
      <c r="BL3" s="5">
        <v>1.3954836376789801</v>
      </c>
      <c r="BM3" s="7">
        <v>7180.2033333333302</v>
      </c>
      <c r="BN3" s="7">
        <v>1.9821291459590999</v>
      </c>
      <c r="BO3" s="5">
        <v>273124.69666666701</v>
      </c>
      <c r="BP3" s="5">
        <v>0.449172031304089</v>
      </c>
      <c r="BQ3" s="7">
        <v>28968.273333333302</v>
      </c>
      <c r="BR3" s="7">
        <v>9.5322229417788798E-2</v>
      </c>
      <c r="BS3" s="5">
        <v>61314.916666666701</v>
      </c>
      <c r="BT3" s="5">
        <v>1.1023969562095199</v>
      </c>
      <c r="BU3" s="7">
        <v>55854.31</v>
      </c>
      <c r="BV3" s="7">
        <v>0.45729644200487501</v>
      </c>
    </row>
    <row r="4" spans="1:74" x14ac:dyDescent="0.35">
      <c r="A4" s="4"/>
      <c r="B4" s="4" t="b">
        <v>0</v>
      </c>
      <c r="C4" s="4" t="s">
        <v>84</v>
      </c>
      <c r="D4" s="1">
        <v>46141.590833333299</v>
      </c>
      <c r="E4" s="6" t="s">
        <v>37</v>
      </c>
      <c r="F4" s="7" t="s">
        <v>76</v>
      </c>
      <c r="G4" s="4" t="s">
        <v>59</v>
      </c>
      <c r="H4" s="4"/>
      <c r="I4" s="5">
        <v>1.6666666666666701</v>
      </c>
      <c r="J4" s="5">
        <v>173.20508075688801</v>
      </c>
      <c r="K4" s="5">
        <v>0</v>
      </c>
      <c r="L4" s="7">
        <v>29052.016666666699</v>
      </c>
      <c r="M4" s="7">
        <v>0.78160121713141995</v>
      </c>
      <c r="N4" s="7">
        <v>0</v>
      </c>
      <c r="O4" s="5">
        <v>88.3333333333333</v>
      </c>
      <c r="P4" s="5">
        <v>19.8785919865146</v>
      </c>
      <c r="Q4" s="5">
        <v>0</v>
      </c>
      <c r="R4" s="7">
        <v>53.3333333333333</v>
      </c>
      <c r="S4" s="7">
        <v>10.825317547305399</v>
      </c>
      <c r="T4" s="7">
        <v>0</v>
      </c>
      <c r="U4" s="5">
        <v>5269.38666666667</v>
      </c>
      <c r="V4" s="5">
        <v>5.79459294712749</v>
      </c>
      <c r="W4" s="5">
        <v>0</v>
      </c>
      <c r="X4" s="7">
        <v>3188.7366666666699</v>
      </c>
      <c r="Y4" s="7">
        <v>3.35036196139743</v>
      </c>
      <c r="Z4" s="7">
        <v>0</v>
      </c>
      <c r="AA4" s="5">
        <v>188.333333333333</v>
      </c>
      <c r="AB4" s="5">
        <v>10.7295182769754</v>
      </c>
      <c r="AC4" s="5">
        <v>0</v>
      </c>
      <c r="AD4" s="7">
        <v>27963.87</v>
      </c>
      <c r="AE4" s="7">
        <v>1.09425537885029</v>
      </c>
      <c r="AF4" s="7">
        <v>0</v>
      </c>
      <c r="AG4" s="5">
        <v>12979.3266666667</v>
      </c>
      <c r="AH4" s="5">
        <v>1.3922230510990601</v>
      </c>
      <c r="AI4" s="5">
        <v>0</v>
      </c>
      <c r="AJ4" s="7">
        <v>133.333333333333</v>
      </c>
      <c r="AK4" s="7">
        <v>35.641443573458098</v>
      </c>
      <c r="AL4" s="7">
        <v>0</v>
      </c>
      <c r="AM4" s="5">
        <v>686.69666666666706</v>
      </c>
      <c r="AN4" s="5">
        <v>15.6913464852347</v>
      </c>
      <c r="AO4" s="5">
        <v>0</v>
      </c>
      <c r="AP4" s="7">
        <v>313.34333333333302</v>
      </c>
      <c r="AQ4" s="7">
        <v>17.062237303432301</v>
      </c>
      <c r="AR4" s="7">
        <v>0</v>
      </c>
      <c r="AS4" s="5">
        <v>185.00333333333299</v>
      </c>
      <c r="AT4" s="5">
        <v>34.508140135922503</v>
      </c>
      <c r="AU4" s="5">
        <v>0</v>
      </c>
      <c r="AV4" s="7">
        <v>66.6666666666667</v>
      </c>
      <c r="AW4" s="7">
        <v>31.224989991992</v>
      </c>
      <c r="AX4" s="7">
        <v>0</v>
      </c>
      <c r="AY4" s="5">
        <v>0</v>
      </c>
      <c r="AZ4" s="5" t="s">
        <v>27</v>
      </c>
      <c r="BA4" s="5">
        <v>0</v>
      </c>
      <c r="BB4" s="7">
        <v>13.3333333333333</v>
      </c>
      <c r="BC4" s="7">
        <v>21.650635094610902</v>
      </c>
      <c r="BD4" s="7">
        <v>0</v>
      </c>
      <c r="BE4" s="5">
        <v>93.3333333333333</v>
      </c>
      <c r="BF4" s="5">
        <v>34.855752314184201</v>
      </c>
      <c r="BG4" s="5">
        <v>0</v>
      </c>
      <c r="BH4" s="7">
        <v>421.68</v>
      </c>
      <c r="BI4" s="7">
        <v>13.486050097181399</v>
      </c>
      <c r="BJ4" s="7">
        <v>0</v>
      </c>
      <c r="BK4" s="5">
        <v>79986.75</v>
      </c>
      <c r="BL4" s="5">
        <v>0.69518735708928503</v>
      </c>
      <c r="BM4" s="7">
        <v>8375.8666666666704</v>
      </c>
      <c r="BN4" s="7">
        <v>2.2351910131817299</v>
      </c>
      <c r="BO4" s="5">
        <v>307475.05333333299</v>
      </c>
      <c r="BP4" s="5">
        <v>0.37983864981189402</v>
      </c>
      <c r="BQ4" s="7">
        <v>33426.333333333299</v>
      </c>
      <c r="BR4" s="7">
        <v>1.31574089911772</v>
      </c>
      <c r="BS4" s="5">
        <v>74225.303333333301</v>
      </c>
      <c r="BT4" s="5">
        <v>0.50329133990651398</v>
      </c>
      <c r="BU4" s="7">
        <v>65883.423333333296</v>
      </c>
      <c r="BV4" s="7">
        <v>1.2791348585566999</v>
      </c>
    </row>
    <row r="5" spans="1:74" x14ac:dyDescent="0.35">
      <c r="A5" s="4"/>
      <c r="B5" s="4" t="b">
        <v>0</v>
      </c>
      <c r="C5" s="4" t="s">
        <v>19</v>
      </c>
      <c r="D5" s="1">
        <v>46141.593865740702</v>
      </c>
      <c r="E5" s="6" t="s">
        <v>62</v>
      </c>
      <c r="F5" s="7" t="s">
        <v>18</v>
      </c>
      <c r="G5" s="4" t="s">
        <v>83</v>
      </c>
      <c r="H5" s="4"/>
      <c r="I5" s="5">
        <v>510.01666666666699</v>
      </c>
      <c r="J5" s="5">
        <v>10.605303648434701</v>
      </c>
      <c r="K5" s="5">
        <v>204.008826381511</v>
      </c>
      <c r="L5" s="7">
        <v>61293.366666666698</v>
      </c>
      <c r="M5" s="7">
        <v>1.64455931117872</v>
      </c>
      <c r="N5" s="7">
        <v>224.32698903763901</v>
      </c>
      <c r="O5" s="5">
        <v>15268.1</v>
      </c>
      <c r="P5" s="5">
        <v>1.48107823544901</v>
      </c>
      <c r="Q5" s="5">
        <v>215.814757936429</v>
      </c>
      <c r="R5" s="7">
        <v>4839.2133333333304</v>
      </c>
      <c r="S5" s="7">
        <v>4.51255906708524</v>
      </c>
      <c r="T5" s="7">
        <v>218.31126745630999</v>
      </c>
      <c r="U5" s="5">
        <v>15084.666666666701</v>
      </c>
      <c r="V5" s="5">
        <v>2.01014207595802</v>
      </c>
      <c r="W5" s="5">
        <v>216.688706133138</v>
      </c>
      <c r="X5" s="7">
        <v>198655.51</v>
      </c>
      <c r="Y5" s="7">
        <v>0.30351190561748098</v>
      </c>
      <c r="Z5" s="7">
        <v>214.40745659595899</v>
      </c>
      <c r="AA5" s="5">
        <v>92304.253333333298</v>
      </c>
      <c r="AB5" s="5">
        <v>0.17712384052542501</v>
      </c>
      <c r="AC5" s="5">
        <v>214.46124087677001</v>
      </c>
      <c r="AD5" s="7">
        <v>550723.83333333302</v>
      </c>
      <c r="AE5" s="7">
        <v>0.550002458494107</v>
      </c>
      <c r="AF5" s="7">
        <v>204.536953703118</v>
      </c>
      <c r="AG5" s="5">
        <v>171087.89666666699</v>
      </c>
      <c r="AH5" s="5">
        <v>0.24087854132381301</v>
      </c>
      <c r="AI5" s="5">
        <v>214.470309880331</v>
      </c>
      <c r="AJ5" s="7">
        <v>335807.686666667</v>
      </c>
      <c r="AK5" s="7">
        <v>0.60792930379215104</v>
      </c>
      <c r="AL5" s="7">
        <v>214.76703371023299</v>
      </c>
      <c r="AM5" s="5">
        <v>94296.176666666695</v>
      </c>
      <c r="AN5" s="5">
        <v>0.77926369820274799</v>
      </c>
      <c r="AO5" s="5">
        <v>217.73080067065499</v>
      </c>
      <c r="AP5" s="7">
        <v>257798.71666666699</v>
      </c>
      <c r="AQ5" s="7">
        <v>0.68299790539367899</v>
      </c>
      <c r="AR5" s="7">
        <v>215.86070256839201</v>
      </c>
      <c r="AS5" s="5">
        <v>39419.196666666699</v>
      </c>
      <c r="AT5" s="5">
        <v>0.36262052216625401</v>
      </c>
      <c r="AU5" s="5">
        <v>213.90162339724199</v>
      </c>
      <c r="AV5" s="7">
        <v>381260.76333333302</v>
      </c>
      <c r="AW5" s="7">
        <v>1.7025646831803001</v>
      </c>
      <c r="AX5" s="7">
        <v>217.060471836669</v>
      </c>
      <c r="AY5" s="5">
        <v>45972.483333333301</v>
      </c>
      <c r="AZ5" s="5">
        <v>1.0683063133911801</v>
      </c>
      <c r="BA5" s="5">
        <v>212.55129746686401</v>
      </c>
      <c r="BB5" s="7">
        <v>32675.84</v>
      </c>
      <c r="BC5" s="7">
        <v>1.47310135823843</v>
      </c>
      <c r="BD5" s="7">
        <v>211.18557896907001</v>
      </c>
      <c r="BE5" s="5">
        <v>553601.23</v>
      </c>
      <c r="BF5" s="5">
        <v>0.493075305754689</v>
      </c>
      <c r="BG5" s="5">
        <v>209.42428079644901</v>
      </c>
      <c r="BH5" s="7">
        <v>403411.59333333297</v>
      </c>
      <c r="BI5" s="7">
        <v>0.83559307394111404</v>
      </c>
      <c r="BJ5" s="7">
        <v>210.526153534483</v>
      </c>
      <c r="BK5" s="5">
        <v>80936.736666666606</v>
      </c>
      <c r="BL5" s="5">
        <v>0.80255891299224502</v>
      </c>
      <c r="BM5" s="7">
        <v>8089.0266666666703</v>
      </c>
      <c r="BN5" s="7">
        <v>3.2258427368367801</v>
      </c>
      <c r="BO5" s="5">
        <v>310687.83</v>
      </c>
      <c r="BP5" s="5">
        <v>0.22378177141451899</v>
      </c>
      <c r="BQ5" s="7">
        <v>32928.620000000003</v>
      </c>
      <c r="BR5" s="7">
        <v>4.27554469025843</v>
      </c>
      <c r="BS5" s="5">
        <v>75336.653333333306</v>
      </c>
      <c r="BT5" s="5">
        <v>1.14729279911908</v>
      </c>
      <c r="BU5" s="7">
        <v>63944.206666666701</v>
      </c>
      <c r="BV5" s="7">
        <v>4.0611996141134101</v>
      </c>
    </row>
    <row r="6" spans="1:74" x14ac:dyDescent="0.35">
      <c r="A6" s="4"/>
      <c r="B6" s="4" t="b">
        <v>0</v>
      </c>
      <c r="C6" s="4" t="s">
        <v>50</v>
      </c>
      <c r="D6" s="1">
        <v>46141.596956018497</v>
      </c>
      <c r="E6" s="6" t="s">
        <v>62</v>
      </c>
      <c r="F6" s="7" t="s">
        <v>52</v>
      </c>
      <c r="G6" s="4" t="s">
        <v>58</v>
      </c>
      <c r="H6" s="4"/>
      <c r="I6" s="5">
        <v>1346.75</v>
      </c>
      <c r="J6" s="5">
        <v>7.1839630385905302</v>
      </c>
      <c r="K6" s="5">
        <v>507.10565343433001</v>
      </c>
      <c r="L6" s="7">
        <v>109018.05</v>
      </c>
      <c r="M6" s="7">
        <v>1.0472252539372</v>
      </c>
      <c r="N6" s="7">
        <v>502.30793466907102</v>
      </c>
      <c r="O6" s="5">
        <v>37703.24</v>
      </c>
      <c r="P6" s="5">
        <v>1.5677466105008599</v>
      </c>
      <c r="Q6" s="5">
        <v>502.89664882104103</v>
      </c>
      <c r="R6" s="7">
        <v>11764.86</v>
      </c>
      <c r="S6" s="7">
        <v>2.3952734299323901</v>
      </c>
      <c r="T6" s="7">
        <v>502.54891822346599</v>
      </c>
      <c r="U6" s="5">
        <v>29843.9866666667</v>
      </c>
      <c r="V6" s="5">
        <v>1.64649234132759</v>
      </c>
      <c r="W6" s="5">
        <v>497.70138893920898</v>
      </c>
      <c r="X6" s="7">
        <v>490615.71333333303</v>
      </c>
      <c r="Y6" s="7">
        <v>0.119522257505822</v>
      </c>
      <c r="Z6" s="7">
        <v>502.45008495294798</v>
      </c>
      <c r="AA6" s="5">
        <v>231101.45</v>
      </c>
      <c r="AB6" s="5">
        <v>0.185155538303342</v>
      </c>
      <c r="AC6" s="5">
        <v>505.54073342364097</v>
      </c>
      <c r="AD6" s="7">
        <v>1317084.14666667</v>
      </c>
      <c r="AE6" s="7">
        <v>0.45464425477527898</v>
      </c>
      <c r="AF6" s="7">
        <v>497.26244044702599</v>
      </c>
      <c r="AG6" s="5">
        <v>407924.82333333301</v>
      </c>
      <c r="AH6" s="5">
        <v>0.26818892080340301</v>
      </c>
      <c r="AI6" s="5">
        <v>501.94799670870702</v>
      </c>
      <c r="AJ6" s="7">
        <v>837781.47333333304</v>
      </c>
      <c r="AK6" s="7">
        <v>0.51872320602339494</v>
      </c>
      <c r="AL6" s="7">
        <v>503.94571093904898</v>
      </c>
      <c r="AM6" s="5">
        <v>230196.57</v>
      </c>
      <c r="AN6" s="5">
        <v>0.16632139681186101</v>
      </c>
      <c r="AO6" s="5">
        <v>501.779680557625</v>
      </c>
      <c r="AP6" s="7">
        <v>640801.16333333298</v>
      </c>
      <c r="AQ6" s="7">
        <v>0.70234287715519905</v>
      </c>
      <c r="AR6" s="7">
        <v>504.93247354233398</v>
      </c>
      <c r="AS6" s="5">
        <v>97914.606666666703</v>
      </c>
      <c r="AT6" s="5">
        <v>1.3241903511139801</v>
      </c>
      <c r="AU6" s="5">
        <v>500.901994588273</v>
      </c>
      <c r="AV6" s="7">
        <v>946552.9</v>
      </c>
      <c r="AW6" s="7">
        <v>0.287543572148725</v>
      </c>
      <c r="AX6" s="7">
        <v>507.40430082063898</v>
      </c>
      <c r="AY6" s="5">
        <v>114055.756666667</v>
      </c>
      <c r="AZ6" s="5">
        <v>0.45329967780347102</v>
      </c>
      <c r="BA6" s="5">
        <v>496.14536603518201</v>
      </c>
      <c r="BB6" s="7">
        <v>81398.633333333302</v>
      </c>
      <c r="BC6" s="7">
        <v>0.14269446731674501</v>
      </c>
      <c r="BD6" s="7">
        <v>495.00287669788202</v>
      </c>
      <c r="BE6" s="5">
        <v>1388766.80333333</v>
      </c>
      <c r="BF6" s="5">
        <v>0.40625684789987099</v>
      </c>
      <c r="BG6" s="5">
        <v>502.09812708664703</v>
      </c>
      <c r="BH6" s="7">
        <v>1007623.31666667</v>
      </c>
      <c r="BI6" s="7">
        <v>0.61167324505231702</v>
      </c>
      <c r="BJ6" s="7">
        <v>502.79784815567399</v>
      </c>
      <c r="BK6" s="5">
        <v>82100.176666666695</v>
      </c>
      <c r="BL6" s="5">
        <v>0.949763599522226</v>
      </c>
      <c r="BM6" s="7">
        <v>8595.9966666666696</v>
      </c>
      <c r="BN6" s="7">
        <v>1.05786204334435</v>
      </c>
      <c r="BO6" s="5">
        <v>316782.14333333302</v>
      </c>
      <c r="BP6" s="5">
        <v>1.42031604897108</v>
      </c>
      <c r="BQ6" s="7">
        <v>34950.063333333303</v>
      </c>
      <c r="BR6" s="7">
        <v>1.28145626434169</v>
      </c>
      <c r="BS6" s="5">
        <v>76233.173333333296</v>
      </c>
      <c r="BT6" s="5">
        <v>1.2004592727335599</v>
      </c>
      <c r="BU6" s="7">
        <v>66839.936666666705</v>
      </c>
      <c r="BV6" s="7">
        <v>0.61113260494412702</v>
      </c>
    </row>
    <row r="7" spans="1:74" x14ac:dyDescent="0.35">
      <c r="A7" s="4"/>
      <c r="B7" s="4" t="b">
        <v>0</v>
      </c>
      <c r="C7" s="4" t="s">
        <v>20</v>
      </c>
      <c r="D7" s="1">
        <v>46141.5999884259</v>
      </c>
      <c r="E7" s="6" t="s">
        <v>62</v>
      </c>
      <c r="F7" s="7" t="s">
        <v>103</v>
      </c>
      <c r="G7" s="4" t="s">
        <v>87</v>
      </c>
      <c r="H7" s="4"/>
      <c r="I7" s="5">
        <v>2665.29</v>
      </c>
      <c r="J7" s="5">
        <v>6.5750487946252401</v>
      </c>
      <c r="K7" s="5">
        <v>995.64540800653299</v>
      </c>
      <c r="L7" s="7">
        <v>188186.59</v>
      </c>
      <c r="M7" s="7">
        <v>0.52843111544848498</v>
      </c>
      <c r="N7" s="7">
        <v>993.98063485793602</v>
      </c>
      <c r="O7" s="5">
        <v>75203.8066666667</v>
      </c>
      <c r="P7" s="5">
        <v>0.83582693707934497</v>
      </c>
      <c r="Q7" s="5">
        <v>995.38872400219395</v>
      </c>
      <c r="R7" s="7">
        <v>23452.196666666699</v>
      </c>
      <c r="S7" s="7">
        <v>1.89721357688416</v>
      </c>
      <c r="T7" s="7">
        <v>995.06328739700496</v>
      </c>
      <c r="U7" s="5">
        <v>54869.35</v>
      </c>
      <c r="V7" s="5">
        <v>1.2588346773175001</v>
      </c>
      <c r="W7" s="5">
        <v>997.81156430376802</v>
      </c>
      <c r="X7" s="7">
        <v>977946.62333333294</v>
      </c>
      <c r="Y7" s="7">
        <v>0.53042779794568595</v>
      </c>
      <c r="Z7" s="7">
        <v>995.893466204334</v>
      </c>
      <c r="AA7" s="5">
        <v>458408.48333333299</v>
      </c>
      <c r="AB7" s="5">
        <v>0.318688149326806</v>
      </c>
      <c r="AC7" s="5">
        <v>994.33738511282502</v>
      </c>
      <c r="AD7" s="7">
        <v>2618574.07333333</v>
      </c>
      <c r="AE7" s="7">
        <v>7.6248416495083904E-2</v>
      </c>
      <c r="AF7" s="7">
        <v>1000.46138903586</v>
      </c>
      <c r="AG7" s="5">
        <v>803490.14333333296</v>
      </c>
      <c r="AH7" s="5">
        <v>0.94437293239053999</v>
      </c>
      <c r="AI7" s="5">
        <v>996.13193966957999</v>
      </c>
      <c r="AJ7" s="7">
        <v>1668849.3</v>
      </c>
      <c r="AK7" s="7">
        <v>1.2667320585733</v>
      </c>
      <c r="AL7" s="7">
        <v>995.07373778842896</v>
      </c>
      <c r="AM7" s="5">
        <v>460098.49666666699</v>
      </c>
      <c r="AN7" s="5">
        <v>0.784871617052464</v>
      </c>
      <c r="AO7" s="5">
        <v>995.56399958705697</v>
      </c>
      <c r="AP7" s="7">
        <v>1272844.40666667</v>
      </c>
      <c r="AQ7" s="7">
        <v>1.22317899411224</v>
      </c>
      <c r="AR7" s="7">
        <v>994.36162271515502</v>
      </c>
      <c r="AS7" s="5">
        <v>196383.11666666699</v>
      </c>
      <c r="AT7" s="5">
        <v>0.22468381514451499</v>
      </c>
      <c r="AU7" s="5">
        <v>996.76867802641505</v>
      </c>
      <c r="AV7" s="7">
        <v>1858611.2233333299</v>
      </c>
      <c r="AW7" s="7">
        <v>0.63370982865482794</v>
      </c>
      <c r="AX7" s="7">
        <v>992.88575522234703</v>
      </c>
      <c r="AY7" s="5">
        <v>230551.536666667</v>
      </c>
      <c r="AZ7" s="5">
        <v>0.79174410393241101</v>
      </c>
      <c r="BA7" s="5">
        <v>999.41705748903598</v>
      </c>
      <c r="BB7" s="7">
        <v>165041.82999999999</v>
      </c>
      <c r="BC7" s="7">
        <v>0.64539874918811202</v>
      </c>
      <c r="BD7" s="7">
        <v>1000.26144585725</v>
      </c>
      <c r="BE7" s="5">
        <v>2840486.3133333302</v>
      </c>
      <c r="BF7" s="5">
        <v>1.1553016612875799</v>
      </c>
      <c r="BG7" s="5">
        <v>997.06608029738697</v>
      </c>
      <c r="BH7" s="7">
        <v>2056421.4833333299</v>
      </c>
      <c r="BI7" s="7">
        <v>0.40074763839398497</v>
      </c>
      <c r="BJ7" s="7">
        <v>996.49584521526594</v>
      </c>
      <c r="BK7" s="5">
        <v>82027.83</v>
      </c>
      <c r="BL7" s="5">
        <v>0.57835612043604201</v>
      </c>
      <c r="BM7" s="7">
        <v>8676.0833333333303</v>
      </c>
      <c r="BN7" s="7">
        <v>2.71121716061442</v>
      </c>
      <c r="BO7" s="5">
        <v>319489.42666666699</v>
      </c>
      <c r="BP7" s="5">
        <v>1.0046817058603501</v>
      </c>
      <c r="BQ7" s="7">
        <v>35068.676666666703</v>
      </c>
      <c r="BR7" s="7">
        <v>0.53904945407662996</v>
      </c>
      <c r="BS7" s="5">
        <v>77306.1933333333</v>
      </c>
      <c r="BT7" s="5">
        <v>0.80826856207362197</v>
      </c>
      <c r="BU7" s="7">
        <v>68844.893333333297</v>
      </c>
      <c r="BV7" s="7">
        <v>0.84259233173945802</v>
      </c>
    </row>
    <row r="8" spans="1:74" x14ac:dyDescent="0.35">
      <c r="A8" s="4"/>
      <c r="B8" s="4" t="b">
        <v>0</v>
      </c>
      <c r="C8" s="4" t="s">
        <v>72</v>
      </c>
      <c r="D8" s="1">
        <v>46141.6030439815</v>
      </c>
      <c r="E8" s="6" t="s">
        <v>21</v>
      </c>
      <c r="F8" s="7"/>
      <c r="G8" s="4" t="s">
        <v>42</v>
      </c>
      <c r="H8" s="4"/>
      <c r="I8" s="5">
        <v>101.666666666667</v>
      </c>
      <c r="J8" s="5">
        <v>11.357710213566399</v>
      </c>
      <c r="K8" s="5">
        <v>41.236492039114601</v>
      </c>
      <c r="L8" s="7">
        <v>36353.136666666702</v>
      </c>
      <c r="M8" s="7">
        <v>0.60435288730149295</v>
      </c>
      <c r="N8" s="7">
        <v>62.648560316807902</v>
      </c>
      <c r="O8" s="5">
        <v>43.3333333333333</v>
      </c>
      <c r="P8" s="5">
        <v>35.250582268891101</v>
      </c>
      <c r="Q8" s="5" t="s">
        <v>25</v>
      </c>
      <c r="R8" s="7">
        <v>70</v>
      </c>
      <c r="S8" s="7">
        <v>44.607128559988602</v>
      </c>
      <c r="T8" s="7">
        <v>0.91484290745559305</v>
      </c>
      <c r="U8" s="5">
        <v>5232.69333333333</v>
      </c>
      <c r="V8" s="5">
        <v>9.4094387946624192</v>
      </c>
      <c r="W8" s="5">
        <v>6.3466012793403497</v>
      </c>
      <c r="X8" s="7">
        <v>3043.7</v>
      </c>
      <c r="Y8" s="7">
        <v>5.3656461064672198</v>
      </c>
      <c r="Z8" s="7">
        <v>5.2653830332540598E-2</v>
      </c>
      <c r="AA8" s="5">
        <v>276.67666666666702</v>
      </c>
      <c r="AB8" s="5">
        <v>7.5238220285995299</v>
      </c>
      <c r="AC8" s="5">
        <v>0.237458537436808</v>
      </c>
      <c r="AD8" s="7">
        <v>29017.68</v>
      </c>
      <c r="AE8" s="7">
        <v>1.9343162106289</v>
      </c>
      <c r="AF8" s="7">
        <v>0.58986958211226304</v>
      </c>
      <c r="AG8" s="5">
        <v>13141.15</v>
      </c>
      <c r="AH8" s="5">
        <v>2.05365989385716</v>
      </c>
      <c r="AI8" s="5">
        <v>1.2991979549046799</v>
      </c>
      <c r="AJ8" s="7">
        <v>246.67666666666699</v>
      </c>
      <c r="AK8" s="7">
        <v>15.744199826670499</v>
      </c>
      <c r="AL8" s="7">
        <v>8.0311999155673802E-2</v>
      </c>
      <c r="AM8" s="5">
        <v>708.36</v>
      </c>
      <c r="AN8" s="5">
        <v>10.2862991767265</v>
      </c>
      <c r="AO8" s="5">
        <v>0.14946803015735599</v>
      </c>
      <c r="AP8" s="7">
        <v>488.35333333333301</v>
      </c>
      <c r="AQ8" s="7">
        <v>5.9992068008295698</v>
      </c>
      <c r="AR8" s="7">
        <v>0.16754837288701499</v>
      </c>
      <c r="AS8" s="5">
        <v>548.35333333333301</v>
      </c>
      <c r="AT8" s="5">
        <v>5.5713173926249402</v>
      </c>
      <c r="AU8" s="5">
        <v>2.09049318311604</v>
      </c>
      <c r="AV8" s="7">
        <v>30206.883333333299</v>
      </c>
      <c r="AW8" s="7">
        <v>4.73579479747813</v>
      </c>
      <c r="AX8" s="7">
        <v>17.807944585945901</v>
      </c>
      <c r="AY8" s="5">
        <v>18.3333333333333</v>
      </c>
      <c r="AZ8" s="5">
        <v>15.7459164324443</v>
      </c>
      <c r="BA8" s="5">
        <v>8.7671581187379999E-2</v>
      </c>
      <c r="BB8" s="7">
        <v>11.6666666666667</v>
      </c>
      <c r="BC8" s="7">
        <v>24.743582965269699</v>
      </c>
      <c r="BD8" s="7" t="s">
        <v>25</v>
      </c>
      <c r="BE8" s="5">
        <v>843.37333333333299</v>
      </c>
      <c r="BF8" s="5">
        <v>3.5735738463045901</v>
      </c>
      <c r="BG8" s="5">
        <v>0.29332647115500898</v>
      </c>
      <c r="BH8" s="7">
        <v>925.05</v>
      </c>
      <c r="BI8" s="7">
        <v>1.4300585433578501</v>
      </c>
      <c r="BJ8" s="7">
        <v>0.28285487399854697</v>
      </c>
      <c r="BK8" s="5">
        <v>78802.09</v>
      </c>
      <c r="BL8" s="5">
        <v>2.1318069867976801</v>
      </c>
      <c r="BM8" s="7">
        <v>7872.2433333333302</v>
      </c>
      <c r="BN8" s="7">
        <v>1.65571202580774</v>
      </c>
      <c r="BO8" s="5">
        <v>305163.42</v>
      </c>
      <c r="BP8" s="5">
        <v>1.8922624722903401</v>
      </c>
      <c r="BQ8" s="7">
        <v>31737.57</v>
      </c>
      <c r="BR8" s="7">
        <v>1.9022475778285499</v>
      </c>
      <c r="BS8" s="5">
        <v>73306.863333333298</v>
      </c>
      <c r="BT8" s="5">
        <v>1.7354112156858199</v>
      </c>
      <c r="BU8" s="7">
        <v>62199.103333333303</v>
      </c>
      <c r="BV8" s="7">
        <v>0.71897842485475005</v>
      </c>
    </row>
    <row r="9" spans="1:74" x14ac:dyDescent="0.35">
      <c r="A9" s="4"/>
      <c r="B9" s="4" t="b">
        <v>0</v>
      </c>
      <c r="C9" s="4" t="s">
        <v>92</v>
      </c>
      <c r="D9" s="1">
        <v>46141.605972222198</v>
      </c>
      <c r="E9" s="6" t="s">
        <v>21</v>
      </c>
      <c r="F9" s="7"/>
      <c r="G9" s="4" t="s">
        <v>76</v>
      </c>
      <c r="H9" s="9" t="s">
        <v>119</v>
      </c>
      <c r="I9" s="10">
        <v>36.6666666666667</v>
      </c>
      <c r="J9" s="10">
        <v>20.8298895225265</v>
      </c>
      <c r="K9" s="10">
        <v>14.9969449895948</v>
      </c>
      <c r="L9" s="10">
        <v>42957.466666666704</v>
      </c>
      <c r="M9" s="10">
        <v>1.16081273852032</v>
      </c>
      <c r="N9" s="10">
        <v>120.68744543646</v>
      </c>
      <c r="O9" s="10">
        <v>273.34333333333302</v>
      </c>
      <c r="P9" s="10">
        <v>17.766182071794301</v>
      </c>
      <c r="Q9" s="10">
        <v>2.95926090574208</v>
      </c>
      <c r="R9" s="10">
        <v>515.02</v>
      </c>
      <c r="S9" s="10">
        <v>7.5824722106973104</v>
      </c>
      <c r="T9" s="10">
        <v>22.769957131054198</v>
      </c>
      <c r="U9" s="10">
        <v>6204.7533333333304</v>
      </c>
      <c r="V9" s="10">
        <v>6.7528914688885404</v>
      </c>
      <c r="W9" s="10">
        <v>33.385968186249897</v>
      </c>
      <c r="X9" s="10">
        <v>1291.75</v>
      </c>
      <c r="Y9" s="10">
        <v>5.4385816321154801</v>
      </c>
      <c r="Z9" s="10" t="s">
        <v>25</v>
      </c>
      <c r="AA9" s="10">
        <v>1558.44333333333</v>
      </c>
      <c r="AB9" s="10">
        <v>3.7191632036238498</v>
      </c>
      <c r="AC9" s="10">
        <v>3.45793063785512</v>
      </c>
      <c r="AD9" s="10">
        <v>2855307.4566666698</v>
      </c>
      <c r="AE9" s="10">
        <v>0.34910817382934101</v>
      </c>
      <c r="AF9" s="10">
        <v>1074.52434831097</v>
      </c>
      <c r="AG9" s="10">
        <v>863814.44</v>
      </c>
      <c r="AH9" s="10">
        <v>6.6790256805229903E-2</v>
      </c>
      <c r="AI9" s="10">
        <v>1232.92698779589</v>
      </c>
      <c r="AJ9" s="10">
        <v>1128.39333333333</v>
      </c>
      <c r="AK9" s="10">
        <v>7.0674159436010502</v>
      </c>
      <c r="AL9" s="10">
        <v>0.69051299952815504</v>
      </c>
      <c r="AM9" s="10">
        <v>290.01</v>
      </c>
      <c r="AN9" s="10">
        <v>5.9723830473738104</v>
      </c>
      <c r="AO9" s="10" t="s">
        <v>25</v>
      </c>
      <c r="AP9" s="10">
        <v>132347.82999999999</v>
      </c>
      <c r="AQ9" s="10">
        <v>1.0231325825952999</v>
      </c>
      <c r="AR9" s="10">
        <v>118.40802957552501</v>
      </c>
      <c r="AS9" s="10">
        <v>4322.3900000000003</v>
      </c>
      <c r="AT9" s="10">
        <v>1.0752381002376501</v>
      </c>
      <c r="AU9" s="10">
        <v>24.2241532731585</v>
      </c>
      <c r="AV9" s="10">
        <v>9500.2033333333293</v>
      </c>
      <c r="AW9" s="10">
        <v>4.0098196068479499</v>
      </c>
      <c r="AX9" s="10">
        <v>5.6608927552473203</v>
      </c>
      <c r="AY9" s="10">
        <v>5</v>
      </c>
      <c r="AZ9" s="10">
        <v>100</v>
      </c>
      <c r="BA9" s="10">
        <v>2.46908283389774E-2</v>
      </c>
      <c r="BB9" s="10">
        <v>246.67333333333301</v>
      </c>
      <c r="BC9" s="10">
        <v>19.4794037814289</v>
      </c>
      <c r="BD9" s="10">
        <v>1.5917495412484499</v>
      </c>
      <c r="BE9" s="10">
        <v>315.01</v>
      </c>
      <c r="BF9" s="10">
        <v>9.6548721156443005</v>
      </c>
      <c r="BG9" s="10">
        <v>8.7543002721908597E-2</v>
      </c>
      <c r="BH9" s="10">
        <v>2620.30666666667</v>
      </c>
      <c r="BI9" s="10">
        <v>1.1918068167438001</v>
      </c>
      <c r="BJ9" s="10">
        <v>1.1871315027245799</v>
      </c>
      <c r="BK9" s="10">
        <v>83385.803333333301</v>
      </c>
      <c r="BL9" s="10">
        <v>2.7375912110309999</v>
      </c>
      <c r="BM9" s="10">
        <v>7562.0933333333296</v>
      </c>
      <c r="BN9" s="10">
        <v>3.34677824268732</v>
      </c>
      <c r="BO9" s="10">
        <v>318784.65000000002</v>
      </c>
      <c r="BP9" s="10">
        <v>2.4975558290910298</v>
      </c>
      <c r="BQ9" s="10">
        <v>31276.43</v>
      </c>
      <c r="BR9" s="10">
        <v>3.2261644735927799</v>
      </c>
      <c r="BS9" s="10">
        <v>75207.539999999994</v>
      </c>
      <c r="BT9" s="10">
        <v>2.8599582068127298</v>
      </c>
      <c r="BU9" s="10">
        <v>62458.243333333303</v>
      </c>
      <c r="BV9" s="10">
        <v>2.1489775787290002</v>
      </c>
    </row>
    <row r="10" spans="1:74" x14ac:dyDescent="0.35">
      <c r="A10" s="4"/>
      <c r="B10" s="4" t="b">
        <v>0</v>
      </c>
      <c r="C10" s="4" t="s">
        <v>49</v>
      </c>
      <c r="D10" s="1">
        <v>46141.608946759297</v>
      </c>
      <c r="E10" s="6" t="s">
        <v>21</v>
      </c>
      <c r="F10" s="7"/>
      <c r="G10" s="4" t="s">
        <v>18</v>
      </c>
      <c r="H10" s="9" t="s">
        <v>122</v>
      </c>
      <c r="I10" s="10">
        <v>36.6666666666667</v>
      </c>
      <c r="J10" s="10">
        <v>20.8298895225265</v>
      </c>
      <c r="K10" s="10">
        <v>12.6647943172695</v>
      </c>
      <c r="L10" s="10">
        <v>48511.25</v>
      </c>
      <c r="M10" s="10">
        <v>0.58113447318116995</v>
      </c>
      <c r="N10" s="10">
        <v>108.40829421446099</v>
      </c>
      <c r="O10" s="10">
        <v>408.34666666666698</v>
      </c>
      <c r="P10" s="10">
        <v>6.1642263970670799</v>
      </c>
      <c r="Q10" s="10">
        <v>4.0678820568954803</v>
      </c>
      <c r="R10" s="10">
        <v>490.01666666666699</v>
      </c>
      <c r="S10" s="10">
        <v>12.539721471436801</v>
      </c>
      <c r="T10" s="10">
        <v>17.914404716479201</v>
      </c>
      <c r="U10" s="10">
        <v>6276.4733333333297</v>
      </c>
      <c r="V10" s="10">
        <v>8.8438287149790806</v>
      </c>
      <c r="W10" s="10">
        <v>13.1832358887072</v>
      </c>
      <c r="X10" s="10">
        <v>1301.75</v>
      </c>
      <c r="Y10" s="10">
        <v>10.0930391116183</v>
      </c>
      <c r="Z10" s="10" t="s">
        <v>25</v>
      </c>
      <c r="AA10" s="10">
        <v>285.01</v>
      </c>
      <c r="AB10" s="10">
        <v>15.592776424187999</v>
      </c>
      <c r="AC10" s="10">
        <v>0.18080743149321599</v>
      </c>
      <c r="AD10" s="10">
        <v>45740.696666666699</v>
      </c>
      <c r="AE10" s="10">
        <v>0.73080646500147906</v>
      </c>
      <c r="AF10" s="10">
        <v>7.1701929258008903</v>
      </c>
      <c r="AG10" s="10">
        <v>18204.996666666699</v>
      </c>
      <c r="AH10" s="10">
        <v>2.6948582999045301</v>
      </c>
      <c r="AI10" s="10">
        <v>5.4304100937753201</v>
      </c>
      <c r="AJ10" s="10">
        <v>153.333333333333</v>
      </c>
      <c r="AK10" s="10">
        <v>29.226803608149499</v>
      </c>
      <c r="AL10" s="10">
        <v>6.9129611126959598E-3</v>
      </c>
      <c r="AM10" s="10">
        <v>488.35</v>
      </c>
      <c r="AN10" s="10">
        <v>11.4176530822825</v>
      </c>
      <c r="AO10" s="10" t="s">
        <v>25</v>
      </c>
      <c r="AP10" s="10">
        <v>5115.9833333333299</v>
      </c>
      <c r="AQ10" s="10">
        <v>2.2099054902331301</v>
      </c>
      <c r="AR10" s="10">
        <v>3.6492004859321101</v>
      </c>
      <c r="AS10" s="10">
        <v>3088.71</v>
      </c>
      <c r="AT10" s="10">
        <v>2.6816938614599799</v>
      </c>
      <c r="AU10" s="10">
        <v>14.340734535503699</v>
      </c>
      <c r="AV10" s="10">
        <v>1650.15333333333</v>
      </c>
      <c r="AW10" s="10">
        <v>5.3875452967956496</v>
      </c>
      <c r="AX10" s="10">
        <v>0.81628349270710299</v>
      </c>
      <c r="AY10" s="10">
        <v>8.3333333333333304</v>
      </c>
      <c r="AZ10" s="10">
        <v>69.282032302755098</v>
      </c>
      <c r="BA10" s="10">
        <v>3.47815324171638E-2</v>
      </c>
      <c r="BB10" s="10">
        <v>706.69666666666706</v>
      </c>
      <c r="BC10" s="10">
        <v>10.9925791408804</v>
      </c>
      <c r="BD10" s="10">
        <v>4.0767430800022098</v>
      </c>
      <c r="BE10" s="10">
        <v>261.67666666666702</v>
      </c>
      <c r="BF10" s="10">
        <v>13.0062404345452</v>
      </c>
      <c r="BG10" s="10">
        <v>5.5020239047104402E-2</v>
      </c>
      <c r="BH10" s="10">
        <v>1696.80666666667</v>
      </c>
      <c r="BI10" s="10">
        <v>2.6737789001330299</v>
      </c>
      <c r="BJ10" s="10">
        <v>0.58368547043992902</v>
      </c>
      <c r="BK10" s="10">
        <v>79425.31</v>
      </c>
      <c r="BL10" s="10">
        <v>0.56396673811485398</v>
      </c>
      <c r="BM10" s="10">
        <v>8899.5133333333306</v>
      </c>
      <c r="BN10" s="10">
        <v>4.1271040111868</v>
      </c>
      <c r="BO10" s="10">
        <v>308112.61666666699</v>
      </c>
      <c r="BP10" s="10">
        <v>0.69935654183472995</v>
      </c>
      <c r="BQ10" s="10">
        <v>36206.589999999997</v>
      </c>
      <c r="BR10" s="10">
        <v>4.3124156790291801</v>
      </c>
      <c r="BS10" s="10">
        <v>73670.793333333306</v>
      </c>
      <c r="BT10" s="10">
        <v>1.8056881614317299</v>
      </c>
      <c r="BU10" s="10">
        <v>71211.396666666697</v>
      </c>
      <c r="BV10" s="10">
        <v>4.98053832944258</v>
      </c>
    </row>
    <row r="11" spans="1:74" x14ac:dyDescent="0.35">
      <c r="A11" s="4"/>
      <c r="B11" s="4" t="b">
        <v>0</v>
      </c>
      <c r="C11" s="4" t="s">
        <v>91</v>
      </c>
      <c r="D11" s="1">
        <v>46141.611863425896</v>
      </c>
      <c r="E11" s="6" t="s">
        <v>21</v>
      </c>
      <c r="F11" s="7"/>
      <c r="G11" s="4" t="s">
        <v>52</v>
      </c>
      <c r="H11" s="9" t="s">
        <v>121</v>
      </c>
      <c r="I11" s="10">
        <v>21.6666666666667</v>
      </c>
      <c r="J11" s="10">
        <v>53.293871002119303</v>
      </c>
      <c r="K11" s="10">
        <v>7.8113109038868096</v>
      </c>
      <c r="L11" s="10">
        <v>42992.546666666698</v>
      </c>
      <c r="M11" s="10">
        <v>0.97791615336791105</v>
      </c>
      <c r="N11" s="10">
        <v>102.190324232916</v>
      </c>
      <c r="O11" s="10">
        <v>338.34333333333302</v>
      </c>
      <c r="P11" s="10">
        <v>6.8256142481262403</v>
      </c>
      <c r="Q11" s="10">
        <v>3.6321476147191798</v>
      </c>
      <c r="R11" s="10">
        <v>808.37</v>
      </c>
      <c r="S11" s="10">
        <v>7.7835549213783599</v>
      </c>
      <c r="T11" s="10">
        <v>34.759723670417202</v>
      </c>
      <c r="U11" s="10">
        <v>6483.2233333333297</v>
      </c>
      <c r="V11" s="10">
        <v>7.3437409526095498</v>
      </c>
      <c r="W11" s="10">
        <v>30.475200609370098</v>
      </c>
      <c r="X11" s="10">
        <v>1585.12</v>
      </c>
      <c r="Y11" s="10">
        <v>9.9609894540400798</v>
      </c>
      <c r="Z11" s="10" t="s">
        <v>25</v>
      </c>
      <c r="AA11" s="10">
        <v>3330.44</v>
      </c>
      <c r="AB11" s="10">
        <v>5.3746192391355301</v>
      </c>
      <c r="AC11" s="10">
        <v>7.3754508564472001</v>
      </c>
      <c r="AD11" s="10">
        <v>6857528.6466666702</v>
      </c>
      <c r="AE11" s="10">
        <v>0.24377994032068201</v>
      </c>
      <c r="AF11" s="10">
        <v>2735.3211409364599</v>
      </c>
      <c r="AG11" s="10">
        <v>2026453.46</v>
      </c>
      <c r="AH11" s="10">
        <v>1.7474527567270599</v>
      </c>
      <c r="AI11" s="10">
        <v>2739.51575538829</v>
      </c>
      <c r="AJ11" s="10">
        <v>245.01</v>
      </c>
      <c r="AK11" s="10">
        <v>3.5346532949037002</v>
      </c>
      <c r="AL11" s="10">
        <v>7.5633869319128397E-2</v>
      </c>
      <c r="AM11" s="10">
        <v>428.34666666666698</v>
      </c>
      <c r="AN11" s="10">
        <v>1.7840669825258799</v>
      </c>
      <c r="AO11" s="10" t="s">
        <v>25</v>
      </c>
      <c r="AP11" s="10">
        <v>193164.41333333301</v>
      </c>
      <c r="AQ11" s="10">
        <v>1.6817257504260199</v>
      </c>
      <c r="AR11" s="10">
        <v>162.58404812875</v>
      </c>
      <c r="AS11" s="10">
        <v>7928.96</v>
      </c>
      <c r="AT11" s="10">
        <v>0.23868571971953001</v>
      </c>
      <c r="AU11" s="10">
        <v>42.4375782378604</v>
      </c>
      <c r="AV11" s="10">
        <v>2717.0266666666698</v>
      </c>
      <c r="AW11" s="10">
        <v>7.8122967879517997</v>
      </c>
      <c r="AX11" s="10">
        <v>1.49519574065228</v>
      </c>
      <c r="AY11" s="10">
        <v>13.3333333333333</v>
      </c>
      <c r="AZ11" s="10">
        <v>78.062474979979996</v>
      </c>
      <c r="BA11" s="10">
        <v>6.2379640656880099E-2</v>
      </c>
      <c r="BB11" s="10">
        <v>206.67666666666699</v>
      </c>
      <c r="BC11" s="10">
        <v>2.7934951656676899</v>
      </c>
      <c r="BD11" s="10">
        <v>1.2419949558368399</v>
      </c>
      <c r="BE11" s="10">
        <v>231.67666666666699</v>
      </c>
      <c r="BF11" s="10">
        <v>10.8626022405806</v>
      </c>
      <c r="BG11" s="10">
        <v>4.8435609847120802E-2</v>
      </c>
      <c r="BH11" s="10">
        <v>3738.95</v>
      </c>
      <c r="BI11" s="10">
        <v>0.81740884680910697</v>
      </c>
      <c r="BJ11" s="10">
        <v>1.6385289271305701</v>
      </c>
      <c r="BK11" s="10">
        <v>79118.713333333304</v>
      </c>
      <c r="BL11" s="10">
        <v>0.519142893710832</v>
      </c>
      <c r="BM11" s="10">
        <v>8087.4066666666704</v>
      </c>
      <c r="BN11" s="10">
        <v>8.9393674880754492</v>
      </c>
      <c r="BO11" s="10">
        <v>307209.96000000002</v>
      </c>
      <c r="BP11" s="10">
        <v>0.62478629561311605</v>
      </c>
      <c r="BQ11" s="10">
        <v>33388.933333333298</v>
      </c>
      <c r="BR11" s="10">
        <v>12.6191218931039</v>
      </c>
      <c r="BS11" s="10">
        <v>75717.073333333305</v>
      </c>
      <c r="BT11" s="10">
        <v>0.81712800106781502</v>
      </c>
      <c r="BU11" s="10">
        <v>67754.62</v>
      </c>
      <c r="BV11" s="10">
        <v>9.0161533117530599</v>
      </c>
    </row>
    <row r="12" spans="1:74" x14ac:dyDescent="0.35">
      <c r="A12" s="4"/>
      <c r="B12" s="4" t="b">
        <v>0</v>
      </c>
      <c r="C12" s="4" t="s">
        <v>98</v>
      </c>
      <c r="D12" s="1">
        <v>46141.614826388897</v>
      </c>
      <c r="E12" s="6" t="s">
        <v>21</v>
      </c>
      <c r="F12" s="7"/>
      <c r="G12" s="4" t="s">
        <v>103</v>
      </c>
      <c r="H12" s="9" t="s">
        <v>120</v>
      </c>
      <c r="I12" s="10">
        <v>20</v>
      </c>
      <c r="J12" s="10">
        <v>50</v>
      </c>
      <c r="K12" s="10">
        <v>7.5506362355382297</v>
      </c>
      <c r="L12" s="10">
        <v>42504.596666666701</v>
      </c>
      <c r="M12" s="10">
        <v>1.6569352599126199</v>
      </c>
      <c r="N12" s="10">
        <v>104.849150237207</v>
      </c>
      <c r="O12" s="10">
        <v>250.01</v>
      </c>
      <c r="P12" s="10">
        <v>16.3700507417152</v>
      </c>
      <c r="Q12" s="10">
        <v>2.43698364116932</v>
      </c>
      <c r="R12" s="10">
        <v>666.69333333333304</v>
      </c>
      <c r="S12" s="10">
        <v>10.127650025661699</v>
      </c>
      <c r="T12" s="10">
        <v>28.8732029703196</v>
      </c>
      <c r="U12" s="10">
        <v>6398.1733333333304</v>
      </c>
      <c r="V12" s="10">
        <v>9.8612247354442406</v>
      </c>
      <c r="W12" s="10">
        <v>32.108663673584203</v>
      </c>
      <c r="X12" s="10">
        <v>1690.13</v>
      </c>
      <c r="Y12" s="10">
        <v>4.8436097401748901</v>
      </c>
      <c r="Z12" s="10" t="s">
        <v>25</v>
      </c>
      <c r="AA12" s="10">
        <v>1938.5</v>
      </c>
      <c r="AB12" s="10">
        <v>4.6313926001884296</v>
      </c>
      <c r="AC12" s="10">
        <v>4.2068213978151103</v>
      </c>
      <c r="AD12" s="10">
        <v>3335789.32333333</v>
      </c>
      <c r="AE12" s="10">
        <v>0.79267211256700398</v>
      </c>
      <c r="AF12" s="10">
        <v>1449.6599950790501</v>
      </c>
      <c r="AG12" s="10">
        <v>1000344.7</v>
      </c>
      <c r="AH12" s="10">
        <v>0.13633516980723101</v>
      </c>
      <c r="AI12" s="10">
        <v>1370.9088623764701</v>
      </c>
      <c r="AJ12" s="10">
        <v>270.01</v>
      </c>
      <c r="AK12" s="10">
        <v>9.7987160144608101</v>
      </c>
      <c r="AL12" s="10">
        <v>9.49690278453693E-2</v>
      </c>
      <c r="AM12" s="10">
        <v>1183.4000000000001</v>
      </c>
      <c r="AN12" s="10">
        <v>2.9980055477989498</v>
      </c>
      <c r="AO12" s="10">
        <v>1.28103387442725</v>
      </c>
      <c r="AP12" s="10">
        <v>115695.74666666699</v>
      </c>
      <c r="AQ12" s="10">
        <v>1.5143194654808001</v>
      </c>
      <c r="AR12" s="10">
        <v>99.219080002477597</v>
      </c>
      <c r="AS12" s="10">
        <v>4317.38</v>
      </c>
      <c r="AT12" s="10">
        <v>4.1066495967095404</v>
      </c>
      <c r="AU12" s="10">
        <v>23.158265447475799</v>
      </c>
      <c r="AV12" s="10">
        <v>2370.29</v>
      </c>
      <c r="AW12" s="10">
        <v>7.8836315879859002</v>
      </c>
      <c r="AX12" s="10">
        <v>1.3089589635430501</v>
      </c>
      <c r="AY12" s="10">
        <v>8.3333333333333304</v>
      </c>
      <c r="AZ12" s="10">
        <v>34.641016151377499</v>
      </c>
      <c r="BA12" s="10">
        <v>3.8487783880237998E-2</v>
      </c>
      <c r="BB12" s="10">
        <v>583.35666666666702</v>
      </c>
      <c r="BC12" s="10">
        <v>12.401386658748599</v>
      </c>
      <c r="BD12" s="10">
        <v>3.69031950670679</v>
      </c>
      <c r="BE12" s="10">
        <v>155</v>
      </c>
      <c r="BF12" s="10">
        <v>8.5346816485954502</v>
      </c>
      <c r="BG12" s="10">
        <v>2.1363691689529E-2</v>
      </c>
      <c r="BH12" s="10">
        <v>2311.9133333333298</v>
      </c>
      <c r="BI12" s="10">
        <v>3.1295853410182501</v>
      </c>
      <c r="BJ12" s="10">
        <v>0.932378259076038</v>
      </c>
      <c r="BK12" s="10">
        <v>72374.009999999995</v>
      </c>
      <c r="BL12" s="10">
        <v>1.40275636282802</v>
      </c>
      <c r="BM12" s="10">
        <v>7882.24</v>
      </c>
      <c r="BN12" s="10">
        <v>1.4924655869754599</v>
      </c>
      <c r="BO12" s="10">
        <v>284743.21333333303</v>
      </c>
      <c r="BP12" s="10">
        <v>2.1305507779109698</v>
      </c>
      <c r="BQ12" s="10">
        <v>32975.43</v>
      </c>
      <c r="BR12" s="10">
        <v>4.2664916006468996</v>
      </c>
      <c r="BS12" s="10">
        <v>72420.4433333333</v>
      </c>
      <c r="BT12" s="10">
        <v>1.4176084969909399</v>
      </c>
      <c r="BU12" s="10">
        <v>67342.423333333296</v>
      </c>
      <c r="BV12" s="10">
        <v>2.51844743866307</v>
      </c>
    </row>
    <row r="13" spans="1:74" x14ac:dyDescent="0.35">
      <c r="A13" s="4"/>
      <c r="B13" s="4" t="b">
        <v>0</v>
      </c>
      <c r="C13" s="4" t="s">
        <v>5</v>
      </c>
      <c r="D13" s="1">
        <v>46141.617743055598</v>
      </c>
      <c r="E13" s="6" t="s">
        <v>21</v>
      </c>
      <c r="F13" s="7"/>
      <c r="G13" s="4" t="s">
        <v>109</v>
      </c>
      <c r="H13" s="11" t="s">
        <v>130</v>
      </c>
      <c r="I13" s="12">
        <v>21.6666666666667</v>
      </c>
      <c r="J13" s="12">
        <v>58.075649502082697</v>
      </c>
      <c r="K13" s="12">
        <v>7.7178833635075597</v>
      </c>
      <c r="L13" s="12">
        <v>56751.683333333298</v>
      </c>
      <c r="M13" s="12">
        <v>1.40431761665028</v>
      </c>
      <c r="N13" s="12">
        <v>177.252207643025</v>
      </c>
      <c r="O13" s="12">
        <v>2326.88666666667</v>
      </c>
      <c r="P13" s="12">
        <v>1.80244414698431</v>
      </c>
      <c r="Q13" s="12">
        <v>30.471756483427502</v>
      </c>
      <c r="R13" s="12">
        <v>560.02</v>
      </c>
      <c r="S13" s="12">
        <v>8.6100949617807903</v>
      </c>
      <c r="T13" s="12">
        <v>22.180584139472199</v>
      </c>
      <c r="U13" s="12">
        <v>6528.23</v>
      </c>
      <c r="V13" s="12">
        <v>7.2592937224425897</v>
      </c>
      <c r="W13" s="12">
        <v>25.220795857294299</v>
      </c>
      <c r="X13" s="12">
        <v>12260.3666666667</v>
      </c>
      <c r="Y13" s="12">
        <v>0.90071540432808095</v>
      </c>
      <c r="Z13" s="12">
        <v>9.4983002782296992</v>
      </c>
      <c r="AA13" s="12">
        <v>570.02</v>
      </c>
      <c r="AB13" s="12">
        <v>6.0771580210130196</v>
      </c>
      <c r="AC13" s="12">
        <v>0.84530343150310405</v>
      </c>
      <c r="AD13" s="12">
        <v>180151.213333333</v>
      </c>
      <c r="AE13" s="12">
        <v>0.58752121770539401</v>
      </c>
      <c r="AF13" s="12">
        <v>61.316085904454702</v>
      </c>
      <c r="AG13" s="12">
        <v>57808.6</v>
      </c>
      <c r="AH13" s="12">
        <v>1.2719991222614899</v>
      </c>
      <c r="AI13" s="12">
        <v>57.949912988566901</v>
      </c>
      <c r="AJ13" s="12">
        <v>185.00333333333299</v>
      </c>
      <c r="AK13" s="12">
        <v>8.10796261929206</v>
      </c>
      <c r="AL13" s="12">
        <v>3.1542896089499901E-2</v>
      </c>
      <c r="AM13" s="12">
        <v>4324.0533333333296</v>
      </c>
      <c r="AN13" s="12">
        <v>5.9717463216085598</v>
      </c>
      <c r="AO13" s="12">
        <v>8.0899510418991891</v>
      </c>
      <c r="AP13" s="12">
        <v>74021.163333333301</v>
      </c>
      <c r="AQ13" s="12">
        <v>0.44797996019533098</v>
      </c>
      <c r="AR13" s="12">
        <v>59.175357094185301</v>
      </c>
      <c r="AS13" s="12">
        <v>3627.1833333333302</v>
      </c>
      <c r="AT13" s="12">
        <v>1.7512232158911101</v>
      </c>
      <c r="AU13" s="12">
        <v>17.956283896382299</v>
      </c>
      <c r="AV13" s="12">
        <v>376.68666666666701</v>
      </c>
      <c r="AW13" s="12">
        <v>24.525610178136201</v>
      </c>
      <c r="AX13" s="12">
        <v>0.16700191917518201</v>
      </c>
      <c r="AY13" s="12">
        <v>6.6666666666666696</v>
      </c>
      <c r="AZ13" s="12">
        <v>43.301270189221903</v>
      </c>
      <c r="BA13" s="12">
        <v>2.9202006286356001E-2</v>
      </c>
      <c r="BB13" s="12">
        <v>620.02333333333297</v>
      </c>
      <c r="BC13" s="12">
        <v>2.1345045187645799</v>
      </c>
      <c r="BD13" s="12">
        <v>3.7295701725222199</v>
      </c>
      <c r="BE13" s="12">
        <v>238.34333333333299</v>
      </c>
      <c r="BF13" s="12">
        <v>14.2795252343693</v>
      </c>
      <c r="BG13" s="12">
        <v>4.5992388541931301E-2</v>
      </c>
      <c r="BH13" s="12">
        <v>39693.543333333299</v>
      </c>
      <c r="BI13" s="12">
        <v>1.3971890653236001</v>
      </c>
      <c r="BJ13" s="12">
        <v>18.304837456897999</v>
      </c>
      <c r="BK13" s="12">
        <v>78852.23</v>
      </c>
      <c r="BL13" s="12">
        <v>0.80042503766175599</v>
      </c>
      <c r="BM13" s="12">
        <v>8450.9266666666699</v>
      </c>
      <c r="BN13" s="12">
        <v>4.1378310079157403</v>
      </c>
      <c r="BO13" s="12">
        <v>310679.96999999997</v>
      </c>
      <c r="BP13" s="12">
        <v>0.62919762879332297</v>
      </c>
      <c r="BQ13" s="12">
        <v>34557.410000000003</v>
      </c>
      <c r="BR13" s="12">
        <v>1.8133851226592399</v>
      </c>
      <c r="BS13" s="12">
        <v>77914.853333333303</v>
      </c>
      <c r="BT13" s="12">
        <v>1.3920026946923401</v>
      </c>
      <c r="BU13" s="12">
        <v>71572.553333333301</v>
      </c>
      <c r="BV13" s="12">
        <v>2.7796605676779</v>
      </c>
    </row>
    <row r="14" spans="1:74" x14ac:dyDescent="0.35">
      <c r="A14" s="4"/>
      <c r="B14" s="4" t="b">
        <v>0</v>
      </c>
      <c r="C14" s="4" t="s">
        <v>74</v>
      </c>
      <c r="D14" s="1">
        <v>46141.620706018497</v>
      </c>
      <c r="E14" s="6" t="s">
        <v>21</v>
      </c>
      <c r="F14" s="7"/>
      <c r="G14" s="4" t="s">
        <v>105</v>
      </c>
      <c r="H14" s="11" t="s">
        <v>123</v>
      </c>
      <c r="I14" s="12">
        <v>11.6666666666667</v>
      </c>
      <c r="J14" s="12">
        <v>49.487165930539398</v>
      </c>
      <c r="K14" s="12">
        <v>4.3280679145449596</v>
      </c>
      <c r="L14" s="12">
        <v>50581.33</v>
      </c>
      <c r="M14" s="12">
        <v>1.5407243035651801</v>
      </c>
      <c r="N14" s="12">
        <v>180.288159534465</v>
      </c>
      <c r="O14" s="12">
        <v>2390.2333333333299</v>
      </c>
      <c r="P14" s="12">
        <v>3.1383965326491801</v>
      </c>
      <c r="Q14" s="12">
        <v>35.558918490688001</v>
      </c>
      <c r="R14" s="12">
        <v>386.67666666666702</v>
      </c>
      <c r="S14" s="12">
        <v>5.9724345321029499</v>
      </c>
      <c r="T14" s="12">
        <v>16.727006292044699</v>
      </c>
      <c r="U14" s="12">
        <v>6598.2566666666698</v>
      </c>
      <c r="V14" s="12">
        <v>8.3875299028392103</v>
      </c>
      <c r="W14" s="12">
        <v>44.9414974588463</v>
      </c>
      <c r="X14" s="12">
        <v>12485.59</v>
      </c>
      <c r="Y14" s="12">
        <v>1.4430635786777899</v>
      </c>
      <c r="Z14" s="12">
        <v>11.4589317319955</v>
      </c>
      <c r="AA14" s="12">
        <v>573.35666666666702</v>
      </c>
      <c r="AB14" s="12">
        <v>11.043223748311799</v>
      </c>
      <c r="AC14" s="12">
        <v>1.0163095615831801</v>
      </c>
      <c r="AD14" s="12">
        <v>179899.64666666699</v>
      </c>
      <c r="AE14" s="12">
        <v>0.410875734620262</v>
      </c>
      <c r="AF14" s="12">
        <v>61.200376347017396</v>
      </c>
      <c r="AG14" s="12">
        <v>59774.76</v>
      </c>
      <c r="AH14" s="12">
        <v>1.06814757252669</v>
      </c>
      <c r="AI14" s="12">
        <v>70.608931176213105</v>
      </c>
      <c r="AJ14" s="12">
        <v>136.666666666667</v>
      </c>
      <c r="AK14" s="12">
        <v>16.4972551932545</v>
      </c>
      <c r="AL14" s="12">
        <v>1.32819084956386E-2</v>
      </c>
      <c r="AM14" s="12">
        <v>4249.0333333333301</v>
      </c>
      <c r="AN14" s="12">
        <v>2.2955969567111798</v>
      </c>
      <c r="AO14" s="12">
        <v>9.1545355564925703</v>
      </c>
      <c r="AP14" s="12">
        <v>56857.01</v>
      </c>
      <c r="AQ14" s="12">
        <v>1.1358009628240899</v>
      </c>
      <c r="AR14" s="12">
        <v>51.383352211553401</v>
      </c>
      <c r="AS14" s="12">
        <v>4920.93</v>
      </c>
      <c r="AT14" s="12">
        <v>3.0761066720486201</v>
      </c>
      <c r="AU14" s="12">
        <v>28.052109999296999</v>
      </c>
      <c r="AV14" s="12">
        <v>366.68666666666701</v>
      </c>
      <c r="AW14" s="12">
        <v>3.1490115222237902</v>
      </c>
      <c r="AX14" s="12">
        <v>0.17478153467503699</v>
      </c>
      <c r="AY14" s="12">
        <v>1.6666666666666701</v>
      </c>
      <c r="AZ14" s="12">
        <v>173.20508075688801</v>
      </c>
      <c r="BA14" s="12">
        <v>7.75183888944307E-3</v>
      </c>
      <c r="BB14" s="12">
        <v>36.6666666666667</v>
      </c>
      <c r="BC14" s="12">
        <v>67.266584486130697</v>
      </c>
      <c r="BD14" s="12">
        <v>0.161491739088678</v>
      </c>
      <c r="BE14" s="12">
        <v>231.67666666666699</v>
      </c>
      <c r="BF14" s="12">
        <v>13.875157562972699</v>
      </c>
      <c r="BG14" s="12">
        <v>4.8481679270159901E-2</v>
      </c>
      <c r="BH14" s="12">
        <v>39745.333333333299</v>
      </c>
      <c r="BI14" s="12">
        <v>0.41596405418801302</v>
      </c>
      <c r="BJ14" s="12">
        <v>19.5047047256704</v>
      </c>
      <c r="BK14" s="12">
        <v>78872.376666666707</v>
      </c>
      <c r="BL14" s="12">
        <v>1.1671932621419201</v>
      </c>
      <c r="BM14" s="12">
        <v>7478.7333333333299</v>
      </c>
      <c r="BN14" s="12">
        <v>5.78700851241324</v>
      </c>
      <c r="BO14" s="12">
        <v>312272.493333333</v>
      </c>
      <c r="BP14" s="12">
        <v>0.86465587676100997</v>
      </c>
      <c r="BQ14" s="12">
        <v>32429.226666666698</v>
      </c>
      <c r="BR14" s="12">
        <v>5.3588472088205297</v>
      </c>
      <c r="BS14" s="12">
        <v>79533.936666666705</v>
      </c>
      <c r="BT14" s="12">
        <v>1.36642236675136</v>
      </c>
      <c r="BU14" s="12">
        <v>67408.143333333297</v>
      </c>
      <c r="BV14" s="12">
        <v>5.8184912288303803</v>
      </c>
    </row>
    <row r="15" spans="1:74" x14ac:dyDescent="0.35">
      <c r="A15" s="4"/>
      <c r="B15" s="4" t="b">
        <v>0</v>
      </c>
      <c r="C15" s="4" t="s">
        <v>0</v>
      </c>
      <c r="D15" s="1">
        <v>46141.623622685198</v>
      </c>
      <c r="E15" s="6" t="s">
        <v>21</v>
      </c>
      <c r="F15" s="7"/>
      <c r="G15" s="4" t="s">
        <v>104</v>
      </c>
      <c r="H15" s="11" t="s">
        <v>124</v>
      </c>
      <c r="I15" s="12">
        <v>11.6666666666667</v>
      </c>
      <c r="J15" s="12">
        <v>24.743582965269699</v>
      </c>
      <c r="K15" s="12">
        <v>3.96456693113366</v>
      </c>
      <c r="L15" s="12">
        <v>41877.67</v>
      </c>
      <c r="M15" s="12">
        <v>0.41347894722061002</v>
      </c>
      <c r="N15" s="12">
        <v>91.329358880186305</v>
      </c>
      <c r="O15" s="12">
        <v>1750.13</v>
      </c>
      <c r="P15" s="12">
        <v>5.73581746571731</v>
      </c>
      <c r="Q15" s="12">
        <v>23.505593797686299</v>
      </c>
      <c r="R15" s="12">
        <v>418.34333333333302</v>
      </c>
      <c r="S15" s="12">
        <v>5.5203487010472898</v>
      </c>
      <c r="T15" s="12">
        <v>16.6181532897061</v>
      </c>
      <c r="U15" s="12">
        <v>5826.2666666666701</v>
      </c>
      <c r="V15" s="12">
        <v>8.1684357185928302</v>
      </c>
      <c r="W15" s="12">
        <v>14.913781125488001</v>
      </c>
      <c r="X15" s="12">
        <v>12307.05</v>
      </c>
      <c r="Y15" s="12">
        <v>1.93176251030579</v>
      </c>
      <c r="Z15" s="12">
        <v>10.0249052104752</v>
      </c>
      <c r="AA15" s="12">
        <v>595.02333333333297</v>
      </c>
      <c r="AB15" s="12">
        <v>9.6917962659846104</v>
      </c>
      <c r="AC15" s="12">
        <v>0.95206145621728899</v>
      </c>
      <c r="AD15" s="12">
        <v>182732.45</v>
      </c>
      <c r="AE15" s="12">
        <v>0.51932247599791204</v>
      </c>
      <c r="AF15" s="12">
        <v>62.520224857524802</v>
      </c>
      <c r="AG15" s="12">
        <v>59694.606666666703</v>
      </c>
      <c r="AH15" s="12">
        <v>0.47816268139015899</v>
      </c>
      <c r="AI15" s="12">
        <v>63.228604867301499</v>
      </c>
      <c r="AJ15" s="12">
        <v>150.00333333333299</v>
      </c>
      <c r="AK15" s="12">
        <v>35.121545648510299</v>
      </c>
      <c r="AL15" s="12">
        <v>1.26035462667956E-2</v>
      </c>
      <c r="AM15" s="12">
        <v>4279.0366666666696</v>
      </c>
      <c r="AN15" s="12">
        <v>3.9918476707561701</v>
      </c>
      <c r="AO15" s="12">
        <v>8.3284405471348304</v>
      </c>
      <c r="AP15" s="12">
        <v>45182.773333333302</v>
      </c>
      <c r="AQ15" s="12">
        <v>0.87876306886313005</v>
      </c>
      <c r="AR15" s="12">
        <v>37.358868248062699</v>
      </c>
      <c r="AS15" s="12">
        <v>8664.4266666666699</v>
      </c>
      <c r="AT15" s="12">
        <v>2.1094053878980801</v>
      </c>
      <c r="AU15" s="12">
        <v>45.928968889455</v>
      </c>
      <c r="AV15" s="12">
        <v>276.67666666666702</v>
      </c>
      <c r="AW15" s="12">
        <v>14.607129444697399</v>
      </c>
      <c r="AX15" s="12">
        <v>0.111916881024308</v>
      </c>
      <c r="AY15" s="12">
        <v>1.6666666666666701</v>
      </c>
      <c r="AZ15" s="12">
        <v>173.20508075688801</v>
      </c>
      <c r="BA15" s="12">
        <v>7.3484466238868899E-3</v>
      </c>
      <c r="BB15" s="12">
        <v>46.6666666666667</v>
      </c>
      <c r="BC15" s="12">
        <v>22.303564279994301</v>
      </c>
      <c r="BD15" s="12">
        <v>0.19942630399620101</v>
      </c>
      <c r="BE15" s="12">
        <v>231.67666666666699</v>
      </c>
      <c r="BF15" s="12">
        <v>3.2966747442237399</v>
      </c>
      <c r="BG15" s="12">
        <v>4.2642032169627697E-2</v>
      </c>
      <c r="BH15" s="12">
        <v>39048.3733333333</v>
      </c>
      <c r="BI15" s="12">
        <v>0.68551936226076804</v>
      </c>
      <c r="BJ15" s="12">
        <v>17.697151931548198</v>
      </c>
      <c r="BK15" s="12">
        <v>78677.843333333294</v>
      </c>
      <c r="BL15" s="12">
        <v>0.90803764967256395</v>
      </c>
      <c r="BM15" s="12">
        <v>8147.42</v>
      </c>
      <c r="BN15" s="12">
        <v>3.8656561709661301</v>
      </c>
      <c r="BO15" s="12">
        <v>312638.82</v>
      </c>
      <c r="BP15" s="12">
        <v>0.81518173873472799</v>
      </c>
      <c r="BQ15" s="12">
        <v>34803.133333333302</v>
      </c>
      <c r="BR15" s="12">
        <v>2.15327804496639</v>
      </c>
      <c r="BS15" s="12">
        <v>81021.289999999994</v>
      </c>
      <c r="BT15" s="12">
        <v>1.5928300321106701</v>
      </c>
      <c r="BU15" s="12">
        <v>72763.94</v>
      </c>
      <c r="BV15" s="12">
        <v>1.6006098841035801</v>
      </c>
    </row>
    <row r="16" spans="1:74" x14ac:dyDescent="0.35">
      <c r="A16" s="4"/>
      <c r="B16" s="4" t="b">
        <v>0</v>
      </c>
      <c r="C16" s="4" t="s">
        <v>94</v>
      </c>
      <c r="D16" s="1">
        <v>46141.626597222203</v>
      </c>
      <c r="E16" s="6" t="s">
        <v>21</v>
      </c>
      <c r="F16" s="7"/>
      <c r="G16" s="4" t="s">
        <v>56</v>
      </c>
      <c r="H16" s="11" t="s">
        <v>125</v>
      </c>
      <c r="I16" s="12">
        <v>18.3333333333333</v>
      </c>
      <c r="J16" s="12">
        <v>31.4918328648887</v>
      </c>
      <c r="K16" s="12">
        <v>6.6153202918258804</v>
      </c>
      <c r="L16" s="12">
        <v>38725.856666666703</v>
      </c>
      <c r="M16" s="12">
        <v>1.06196247781202</v>
      </c>
      <c r="N16" s="12">
        <v>69.330556955867607</v>
      </c>
      <c r="O16" s="12">
        <v>1575.11333333333</v>
      </c>
      <c r="P16" s="12">
        <v>6.3738094910566101</v>
      </c>
      <c r="Q16" s="12">
        <v>20.951968352840701</v>
      </c>
      <c r="R16" s="12">
        <v>298.34333333333302</v>
      </c>
      <c r="S16" s="12">
        <v>16.787123561575299</v>
      </c>
      <c r="T16" s="12">
        <v>11.125735708485101</v>
      </c>
      <c r="U16" s="12">
        <v>5674.5333333333301</v>
      </c>
      <c r="V16" s="12">
        <v>7.1916328988456604</v>
      </c>
      <c r="W16" s="12">
        <v>11.4987400520743</v>
      </c>
      <c r="X16" s="12">
        <v>12583.983333333301</v>
      </c>
      <c r="Y16" s="12">
        <v>2.4231649451067399</v>
      </c>
      <c r="Z16" s="12">
        <v>10.2801342330919</v>
      </c>
      <c r="AA16" s="12">
        <v>585.02333333333297</v>
      </c>
      <c r="AB16" s="12">
        <v>13.3239232355333</v>
      </c>
      <c r="AC16" s="12">
        <v>0.92438864811100097</v>
      </c>
      <c r="AD16" s="12">
        <v>165441.80666666699</v>
      </c>
      <c r="AE16" s="12">
        <v>1.17196923324441</v>
      </c>
      <c r="AF16" s="12">
        <v>61.687028576156798</v>
      </c>
      <c r="AG16" s="12">
        <v>55189.9866666667</v>
      </c>
      <c r="AH16" s="12">
        <v>8.7083276651630404E-2</v>
      </c>
      <c r="AI16" s="12">
        <v>56.932576028952703</v>
      </c>
      <c r="AJ16" s="12">
        <v>168.33666666666701</v>
      </c>
      <c r="AK16" s="12">
        <v>12.007259645274999</v>
      </c>
      <c r="AL16" s="12">
        <v>2.4546549381693299E-2</v>
      </c>
      <c r="AM16" s="12">
        <v>4410.74</v>
      </c>
      <c r="AN16" s="12">
        <v>1.6704846563428699</v>
      </c>
      <c r="AO16" s="12">
        <v>8.6080758033574192</v>
      </c>
      <c r="AP16" s="12">
        <v>35674.293333333299</v>
      </c>
      <c r="AQ16" s="12">
        <v>1.17495340530549</v>
      </c>
      <c r="AR16" s="12">
        <v>29.346317897056</v>
      </c>
      <c r="AS16" s="12">
        <v>8159.14</v>
      </c>
      <c r="AT16" s="12">
        <v>1.83605718857009</v>
      </c>
      <c r="AU16" s="12">
        <v>43.040182084510498</v>
      </c>
      <c r="AV16" s="12">
        <v>246.67666666666699</v>
      </c>
      <c r="AW16" s="12">
        <v>6.1924188140423899</v>
      </c>
      <c r="AX16" s="12">
        <v>9.68368728849891E-2</v>
      </c>
      <c r="AY16" s="12">
        <v>6.6666666666666696</v>
      </c>
      <c r="AZ16" s="12">
        <v>43.301270189221903</v>
      </c>
      <c r="BA16" s="12">
        <v>2.9578056024837499E-2</v>
      </c>
      <c r="BB16" s="12">
        <v>31.6666666666667</v>
      </c>
      <c r="BC16" s="12">
        <v>24.118819447136001</v>
      </c>
      <c r="BD16" s="12">
        <v>0.110843526709375</v>
      </c>
      <c r="BE16" s="12">
        <v>240.01</v>
      </c>
      <c r="BF16" s="12">
        <v>17.799266166654601</v>
      </c>
      <c r="BG16" s="12">
        <v>4.4146474223585697E-2</v>
      </c>
      <c r="BH16" s="12">
        <v>30415.476666666698</v>
      </c>
      <c r="BI16" s="12">
        <v>0.83319686073945998</v>
      </c>
      <c r="BJ16" s="12">
        <v>13.517529687363</v>
      </c>
      <c r="BK16" s="12">
        <v>72179.866666666698</v>
      </c>
      <c r="BL16" s="12">
        <v>5.9094656151827003</v>
      </c>
      <c r="BM16" s="12">
        <v>8167.40333333333</v>
      </c>
      <c r="BN16" s="12">
        <v>0.382733863361856</v>
      </c>
      <c r="BO16" s="12">
        <v>292126.03000000003</v>
      </c>
      <c r="BP16" s="12">
        <v>4.55622785399476</v>
      </c>
      <c r="BQ16" s="12">
        <v>34455.54</v>
      </c>
      <c r="BR16" s="12">
        <v>2.44982252756542</v>
      </c>
      <c r="BS16" s="12">
        <v>76734.75</v>
      </c>
      <c r="BT16" s="12">
        <v>5.3677741338515803</v>
      </c>
      <c r="BU16" s="12">
        <v>73915</v>
      </c>
      <c r="BV16" s="12">
        <v>1.23543482380986</v>
      </c>
    </row>
    <row r="17" spans="1:74" x14ac:dyDescent="0.35">
      <c r="A17" s="4"/>
      <c r="B17" s="4" t="b">
        <v>0</v>
      </c>
      <c r="C17" s="4" t="s">
        <v>99</v>
      </c>
      <c r="D17" s="1">
        <v>46141.629513888904</v>
      </c>
      <c r="E17" s="6" t="s">
        <v>21</v>
      </c>
      <c r="F17" s="7"/>
      <c r="G17" s="4" t="s">
        <v>88</v>
      </c>
      <c r="H17" s="11" t="s">
        <v>126</v>
      </c>
      <c r="I17" s="12">
        <v>18.3333333333333</v>
      </c>
      <c r="J17" s="12">
        <v>56.772709076349102</v>
      </c>
      <c r="K17" s="12">
        <v>6.4694544819459399</v>
      </c>
      <c r="L17" s="12">
        <v>40736.163333333301</v>
      </c>
      <c r="M17" s="12">
        <v>1.7566921777591999</v>
      </c>
      <c r="N17" s="12">
        <v>80.902775422526005</v>
      </c>
      <c r="O17" s="12">
        <v>2135.19</v>
      </c>
      <c r="P17" s="12">
        <v>3.0625618317543601</v>
      </c>
      <c r="Q17" s="12">
        <v>28.642598883787201</v>
      </c>
      <c r="R17" s="12">
        <v>458.34666666666698</v>
      </c>
      <c r="S17" s="12">
        <v>10.928174001503001</v>
      </c>
      <c r="T17" s="12">
        <v>18.252779888475601</v>
      </c>
      <c r="U17" s="12">
        <v>6686.63</v>
      </c>
      <c r="V17" s="12">
        <v>7.2756316811137598</v>
      </c>
      <c r="W17" s="12">
        <v>31.896935430891499</v>
      </c>
      <c r="X17" s="12">
        <v>13913.5433333333</v>
      </c>
      <c r="Y17" s="12">
        <v>1.7000050498003101</v>
      </c>
      <c r="Z17" s="12">
        <v>11.6160190170527</v>
      </c>
      <c r="AA17" s="12">
        <v>695.03</v>
      </c>
      <c r="AB17" s="12">
        <v>11.7769776439466</v>
      </c>
      <c r="AC17" s="12">
        <v>1.16428234400347</v>
      </c>
      <c r="AD17" s="12">
        <v>183682.99</v>
      </c>
      <c r="AE17" s="12">
        <v>0.452084056924487</v>
      </c>
      <c r="AF17" s="12">
        <v>62.547652036269298</v>
      </c>
      <c r="AG17" s="12">
        <v>60861.083333333299</v>
      </c>
      <c r="AH17" s="12">
        <v>0.95617404236223902</v>
      </c>
      <c r="AI17" s="12">
        <v>63.926654259694899</v>
      </c>
      <c r="AJ17" s="12">
        <v>141.666666666667</v>
      </c>
      <c r="AK17" s="12">
        <v>20.069084834390601</v>
      </c>
      <c r="AL17" s="12">
        <v>7.46650412032881E-3</v>
      </c>
      <c r="AM17" s="12">
        <v>4937.6033333333298</v>
      </c>
      <c r="AN17" s="12">
        <v>2.06672260114293</v>
      </c>
      <c r="AO17" s="12">
        <v>9.7452522685400194</v>
      </c>
      <c r="AP17" s="12">
        <v>43221.52</v>
      </c>
      <c r="AQ17" s="12">
        <v>0.95440183235209697</v>
      </c>
      <c r="AR17" s="12">
        <v>35.345132713868701</v>
      </c>
      <c r="AS17" s="12">
        <v>3298.77</v>
      </c>
      <c r="AT17" s="12">
        <v>2.43191346085462</v>
      </c>
      <c r="AU17" s="12">
        <v>16.680478452350702</v>
      </c>
      <c r="AV17" s="12">
        <v>223.34333333333299</v>
      </c>
      <c r="AW17" s="12">
        <v>26.988554721467899</v>
      </c>
      <c r="AX17" s="12">
        <v>8.2720466408185506E-2</v>
      </c>
      <c r="AY17" s="12">
        <v>1.6666666666666701</v>
      </c>
      <c r="AZ17" s="12">
        <v>173.20508075688801</v>
      </c>
      <c r="BA17" s="12">
        <v>7.1560202300918301E-3</v>
      </c>
      <c r="BB17" s="12">
        <v>76.6666666666667</v>
      </c>
      <c r="BC17" s="12">
        <v>19.9242421519819</v>
      </c>
      <c r="BD17" s="12">
        <v>0.38211204849916097</v>
      </c>
      <c r="BE17" s="12">
        <v>268.33999999999997</v>
      </c>
      <c r="BF17" s="12">
        <v>23.5957353915867</v>
      </c>
      <c r="BG17" s="12">
        <v>5.0995406514185E-2</v>
      </c>
      <c r="BH17" s="12">
        <v>36622.993333333303</v>
      </c>
      <c r="BI17" s="12">
        <v>0.471070030593358</v>
      </c>
      <c r="BJ17" s="12">
        <v>15.8746817870647</v>
      </c>
      <c r="BK17" s="12">
        <v>79058.179999999993</v>
      </c>
      <c r="BL17" s="12">
        <v>1.0826041480786901</v>
      </c>
      <c r="BM17" s="12">
        <v>8234.1</v>
      </c>
      <c r="BN17" s="12">
        <v>3.8963259162943</v>
      </c>
      <c r="BO17" s="12">
        <v>318066.70666666701</v>
      </c>
      <c r="BP17" s="12">
        <v>0.71165124077022401</v>
      </c>
      <c r="BQ17" s="12">
        <v>34948.32</v>
      </c>
      <c r="BR17" s="12">
        <v>1.2069259462763799</v>
      </c>
      <c r="BS17" s="12">
        <v>85210.55</v>
      </c>
      <c r="BT17" s="12">
        <v>0.24836211411978201</v>
      </c>
      <c r="BU17" s="12">
        <v>75961.473333333299</v>
      </c>
      <c r="BV17" s="12">
        <v>0.96434517371013695</v>
      </c>
    </row>
    <row r="18" spans="1:74" x14ac:dyDescent="0.35">
      <c r="A18" s="4"/>
      <c r="B18" s="4" t="b">
        <v>0</v>
      </c>
      <c r="C18" s="4" t="s">
        <v>13</v>
      </c>
      <c r="D18" s="1">
        <v>46141.632488425901</v>
      </c>
      <c r="E18" s="6" t="s">
        <v>21</v>
      </c>
      <c r="F18" s="7"/>
      <c r="G18" s="4" t="s">
        <v>33</v>
      </c>
      <c r="H18" s="11" t="s">
        <v>127</v>
      </c>
      <c r="I18" s="12">
        <v>8.3333333333333304</v>
      </c>
      <c r="J18" s="12">
        <v>34.641016151377499</v>
      </c>
      <c r="K18" s="12">
        <v>2.6709197075100102</v>
      </c>
      <c r="L18" s="12">
        <v>35036.629999999997</v>
      </c>
      <c r="M18" s="12">
        <v>0.88065436257365803</v>
      </c>
      <c r="N18" s="12">
        <v>46.572499417426897</v>
      </c>
      <c r="O18" s="12">
        <v>1438.43</v>
      </c>
      <c r="P18" s="12">
        <v>6.6537687020103604</v>
      </c>
      <c r="Q18" s="12">
        <v>19.204558628264401</v>
      </c>
      <c r="R18" s="12">
        <v>633.36</v>
      </c>
      <c r="S18" s="12">
        <v>5.9251525014197597</v>
      </c>
      <c r="T18" s="12">
        <v>26.4942171314297</v>
      </c>
      <c r="U18" s="12">
        <v>5707.89</v>
      </c>
      <c r="V18" s="12">
        <v>8.5262926163343202</v>
      </c>
      <c r="W18" s="12">
        <v>13.200837252953001</v>
      </c>
      <c r="X18" s="12">
        <v>13643.27</v>
      </c>
      <c r="Y18" s="12">
        <v>1.6174600209762</v>
      </c>
      <c r="Z18" s="12">
        <v>11.5503538545602</v>
      </c>
      <c r="AA18" s="12">
        <v>710.03</v>
      </c>
      <c r="AB18" s="12">
        <v>5.6335647789527998</v>
      </c>
      <c r="AC18" s="12">
        <v>1.22460145286049</v>
      </c>
      <c r="AD18" s="12">
        <v>177859.273333333</v>
      </c>
      <c r="AE18" s="12">
        <v>1.1971985121739099</v>
      </c>
      <c r="AF18" s="12">
        <v>61.669814318008498</v>
      </c>
      <c r="AG18" s="12">
        <v>59185.83</v>
      </c>
      <c r="AH18" s="12">
        <v>0.47649716620188498</v>
      </c>
      <c r="AI18" s="12">
        <v>62.9122621834684</v>
      </c>
      <c r="AJ18" s="12">
        <v>180.00333333333299</v>
      </c>
      <c r="AK18" s="12">
        <v>11.110905816558899</v>
      </c>
      <c r="AL18" s="12">
        <v>3.27153403121236E-2</v>
      </c>
      <c r="AM18" s="12">
        <v>4867.57</v>
      </c>
      <c r="AN18" s="12">
        <v>2.5052319298446499</v>
      </c>
      <c r="AO18" s="12">
        <v>9.7508869025630602</v>
      </c>
      <c r="AP18" s="12">
        <v>31528.203333333298</v>
      </c>
      <c r="AQ18" s="12">
        <v>1.2414661238285101</v>
      </c>
      <c r="AR18" s="12">
        <v>26.118043590382801</v>
      </c>
      <c r="AS18" s="12">
        <v>4018.96333333333</v>
      </c>
      <c r="AT18" s="12">
        <v>6.3701754508922699</v>
      </c>
      <c r="AU18" s="12">
        <v>20.862410510100201</v>
      </c>
      <c r="AV18" s="12">
        <v>170.006666666667</v>
      </c>
      <c r="AW18" s="12">
        <v>50.259628543506402</v>
      </c>
      <c r="AX18" s="12">
        <v>5.28990075942238E-2</v>
      </c>
      <c r="AY18" s="12">
        <v>0</v>
      </c>
      <c r="AZ18" s="12" t="s">
        <v>27</v>
      </c>
      <c r="BA18" s="12">
        <v>0</v>
      </c>
      <c r="BB18" s="12">
        <v>595.02333333333297</v>
      </c>
      <c r="BC18" s="12">
        <v>2.22386857430434</v>
      </c>
      <c r="BD18" s="12">
        <v>3.5119292151554999</v>
      </c>
      <c r="BE18" s="12">
        <v>188.33666666666701</v>
      </c>
      <c r="BF18" s="12">
        <v>17.071134555232199</v>
      </c>
      <c r="BG18" s="12">
        <v>2.5247560041877899E-2</v>
      </c>
      <c r="BH18" s="12">
        <v>35926.07</v>
      </c>
      <c r="BI18" s="12">
        <v>0.90741518887878703</v>
      </c>
      <c r="BJ18" s="12">
        <v>15.469290475507799</v>
      </c>
      <c r="BK18" s="12">
        <v>77466.416666666701</v>
      </c>
      <c r="BL18" s="12">
        <v>0.52575467234762896</v>
      </c>
      <c r="BM18" s="12">
        <v>8104.0366666666696</v>
      </c>
      <c r="BN18" s="12">
        <v>1.51533451037137</v>
      </c>
      <c r="BO18" s="12">
        <v>316791.76</v>
      </c>
      <c r="BP18" s="12">
        <v>0.61399731343644603</v>
      </c>
      <c r="BQ18" s="12">
        <v>35162.356666666703</v>
      </c>
      <c r="BR18" s="12">
        <v>1.4095908372189501</v>
      </c>
      <c r="BS18" s="12">
        <v>85602.793333333306</v>
      </c>
      <c r="BT18" s="12">
        <v>1.06774151484475</v>
      </c>
      <c r="BU18" s="12">
        <v>76446.433333333305</v>
      </c>
      <c r="BV18" s="12">
        <v>1.1356351824412501</v>
      </c>
    </row>
    <row r="19" spans="1:74" x14ac:dyDescent="0.35">
      <c r="A19" s="4"/>
      <c r="B19" s="4" t="b">
        <v>0</v>
      </c>
      <c r="C19" s="4" t="s">
        <v>51</v>
      </c>
      <c r="D19" s="1">
        <v>46141.635416666701</v>
      </c>
      <c r="E19" s="6" t="s">
        <v>21</v>
      </c>
      <c r="F19" s="7"/>
      <c r="G19" s="4" t="s">
        <v>85</v>
      </c>
      <c r="H19" s="13" t="s">
        <v>133</v>
      </c>
      <c r="I19" s="14">
        <v>18.3333333333333</v>
      </c>
      <c r="J19" s="14">
        <v>56.772709076349102</v>
      </c>
      <c r="K19" s="14">
        <v>6.2409218505739297</v>
      </c>
      <c r="L19" s="14">
        <v>34821.206666666701</v>
      </c>
      <c r="M19" s="14">
        <v>0.68648236884215696</v>
      </c>
      <c r="N19" s="14">
        <v>27.491270497420398</v>
      </c>
      <c r="O19" s="14">
        <v>1733.47</v>
      </c>
      <c r="P19" s="14">
        <v>4.2236607729288096</v>
      </c>
      <c r="Q19" s="14">
        <v>21.618914389008701</v>
      </c>
      <c r="R19" s="14">
        <v>373.34333333333302</v>
      </c>
      <c r="S19" s="14">
        <v>11.546581034773601</v>
      </c>
      <c r="T19" s="14">
        <v>13.5148285105517</v>
      </c>
      <c r="U19" s="14">
        <v>5674.5266666666703</v>
      </c>
      <c r="V19" s="14">
        <v>11.772092699586601</v>
      </c>
      <c r="W19" s="14">
        <v>3.5723876753776498</v>
      </c>
      <c r="X19" s="14">
        <v>14130.416666666701</v>
      </c>
      <c r="Y19" s="14">
        <v>1.4667341859915799</v>
      </c>
      <c r="Z19" s="14">
        <v>10.8983768633677</v>
      </c>
      <c r="AA19" s="14">
        <v>611.69000000000005</v>
      </c>
      <c r="AB19" s="14">
        <v>11.4543459962432</v>
      </c>
      <c r="AC19" s="14">
        <v>0.90076486479325701</v>
      </c>
      <c r="AD19" s="14">
        <v>178382.563333333</v>
      </c>
      <c r="AE19" s="14">
        <v>0.66948313210513699</v>
      </c>
      <c r="AF19" s="14">
        <v>63.245238634692697</v>
      </c>
      <c r="AG19" s="14">
        <v>59719.526666666701</v>
      </c>
      <c r="AH19" s="14">
        <v>2.0354880215914299</v>
      </c>
      <c r="AI19" s="14">
        <v>57.730511332310599</v>
      </c>
      <c r="AJ19" s="14">
        <v>105</v>
      </c>
      <c r="AK19" s="14">
        <v>28.571428571428601</v>
      </c>
      <c r="AL19" s="14" t="s">
        <v>25</v>
      </c>
      <c r="AM19" s="14">
        <v>5196.0266666666703</v>
      </c>
      <c r="AN19" s="14">
        <v>4.5672317019439896</v>
      </c>
      <c r="AO19" s="14">
        <v>9.6556465018630302</v>
      </c>
      <c r="AP19" s="14">
        <v>23476.026666666701</v>
      </c>
      <c r="AQ19" s="14">
        <v>1.2054159501914301</v>
      </c>
      <c r="AR19" s="14">
        <v>17.9236395987554</v>
      </c>
      <c r="AS19" s="14">
        <v>2368.5666666666698</v>
      </c>
      <c r="AT19" s="14">
        <v>6.3529246888531796</v>
      </c>
      <c r="AU19" s="14">
        <v>10.862169206034901</v>
      </c>
      <c r="AV19" s="14">
        <v>233.34333333333299</v>
      </c>
      <c r="AW19" s="14">
        <v>17.842086763134201</v>
      </c>
      <c r="AX19" s="14">
        <v>7.6594041332341004E-2</v>
      </c>
      <c r="AY19" s="14">
        <v>1.6666666666666701</v>
      </c>
      <c r="AZ19" s="14">
        <v>173.20508075688801</v>
      </c>
      <c r="BA19" s="14">
        <v>7.2828180098449997E-3</v>
      </c>
      <c r="BB19" s="14">
        <v>40</v>
      </c>
      <c r="BC19" s="14">
        <v>62.5</v>
      </c>
      <c r="BD19" s="14">
        <v>0.15267440552140801</v>
      </c>
      <c r="BE19" s="14">
        <v>261.67666666666702</v>
      </c>
      <c r="BF19" s="14">
        <v>5.8374529571555103</v>
      </c>
      <c r="BG19" s="14">
        <v>4.1784641749136903E-2</v>
      </c>
      <c r="BH19" s="14">
        <v>35946.406666666699</v>
      </c>
      <c r="BI19" s="14">
        <v>2.7529772310823302</v>
      </c>
      <c r="BJ19" s="14">
        <v>14.3130723453699</v>
      </c>
      <c r="BK19" s="14">
        <v>76052.653333333306</v>
      </c>
      <c r="BL19" s="14">
        <v>0.61299093009703198</v>
      </c>
      <c r="BM19" s="14">
        <v>8919.6299999999992</v>
      </c>
      <c r="BN19" s="14">
        <v>17.084140995553799</v>
      </c>
      <c r="BO19" s="14">
        <v>309930.07333333301</v>
      </c>
      <c r="BP19" s="14">
        <v>0.43058497905872001</v>
      </c>
      <c r="BQ19" s="14">
        <v>38352.26</v>
      </c>
      <c r="BR19" s="14">
        <v>16.380374771559399</v>
      </c>
      <c r="BS19" s="14">
        <v>83789.9433333333</v>
      </c>
      <c r="BT19" s="14">
        <v>1.34587943264406</v>
      </c>
      <c r="BU19" s="14">
        <v>83882.350000000006</v>
      </c>
      <c r="BV19" s="14">
        <v>14.704707125573</v>
      </c>
    </row>
    <row r="20" spans="1:74" x14ac:dyDescent="0.35">
      <c r="A20" s="4"/>
      <c r="B20" s="4" t="b">
        <v>0</v>
      </c>
      <c r="C20" s="4" t="s">
        <v>68</v>
      </c>
      <c r="D20" s="1">
        <v>46141.638391203698</v>
      </c>
      <c r="E20" s="6" t="s">
        <v>21</v>
      </c>
      <c r="F20" s="7"/>
      <c r="G20" s="4" t="s">
        <v>115</v>
      </c>
      <c r="H20" s="13" t="s">
        <v>128</v>
      </c>
      <c r="I20" s="14">
        <v>11.6666666666667</v>
      </c>
      <c r="J20" s="14">
        <v>65.465367070797697</v>
      </c>
      <c r="K20" s="14">
        <v>4.0686482972171998</v>
      </c>
      <c r="L20" s="14">
        <v>33850.616666666698</v>
      </c>
      <c r="M20" s="14">
        <v>1.08422492156348</v>
      </c>
      <c r="N20" s="14">
        <v>44.659977543876202</v>
      </c>
      <c r="O20" s="14">
        <v>1793.4733333333299</v>
      </c>
      <c r="P20" s="14">
        <v>2.90212601704456</v>
      </c>
      <c r="Q20" s="14">
        <v>24.900962743681202</v>
      </c>
      <c r="R20" s="14">
        <v>408.34333333333302</v>
      </c>
      <c r="S20" s="14">
        <v>5.6555376033856897</v>
      </c>
      <c r="T20" s="14">
        <v>16.712091850213799</v>
      </c>
      <c r="U20" s="14">
        <v>5866.2933333333303</v>
      </c>
      <c r="V20" s="14">
        <v>10.281355058945699</v>
      </c>
      <c r="W20" s="14">
        <v>20.2422054350228</v>
      </c>
      <c r="X20" s="14">
        <v>15002.9566666667</v>
      </c>
      <c r="Y20" s="14">
        <v>2.0871270847007</v>
      </c>
      <c r="Z20" s="14">
        <v>13.472897452206</v>
      </c>
      <c r="AA20" s="14">
        <v>636.69000000000005</v>
      </c>
      <c r="AB20" s="14">
        <v>8.7574971850234</v>
      </c>
      <c r="AC20" s="14">
        <v>1.0911025235495899</v>
      </c>
      <c r="AD20" s="14">
        <v>195637.373333333</v>
      </c>
      <c r="AE20" s="14">
        <v>0.82724331950000596</v>
      </c>
      <c r="AF20" s="14">
        <v>69.012658313340097</v>
      </c>
      <c r="AG20" s="14">
        <v>65802.413333333301</v>
      </c>
      <c r="AH20" s="14">
        <v>0.52118938051523001</v>
      </c>
      <c r="AI20" s="14">
        <v>74.209661785158701</v>
      </c>
      <c r="AJ20" s="14">
        <v>163.333333333333</v>
      </c>
      <c r="AK20" s="14">
        <v>16.859909838631001</v>
      </c>
      <c r="AL20" s="14">
        <v>2.5290534790013301E-2</v>
      </c>
      <c r="AM20" s="14">
        <v>5214.3599999999997</v>
      </c>
      <c r="AN20" s="14">
        <v>4.2782537938710696</v>
      </c>
      <c r="AO20" s="14">
        <v>10.8688519105027</v>
      </c>
      <c r="AP20" s="14">
        <v>21172.456666666701</v>
      </c>
      <c r="AQ20" s="14">
        <v>1.17102332246462</v>
      </c>
      <c r="AR20" s="14">
        <v>17.927463379009499</v>
      </c>
      <c r="AS20" s="14">
        <v>2543.6033333333298</v>
      </c>
      <c r="AT20" s="14">
        <v>2.8508519957656402</v>
      </c>
      <c r="AU20" s="14">
        <v>13.214609888475101</v>
      </c>
      <c r="AV20" s="14">
        <v>303.35000000000002</v>
      </c>
      <c r="AW20" s="14">
        <v>18.746654376065401</v>
      </c>
      <c r="AX20" s="14">
        <v>0.129589473253652</v>
      </c>
      <c r="AY20" s="14">
        <v>3.3333333333333299</v>
      </c>
      <c r="AZ20" s="14">
        <v>86.602540378443905</v>
      </c>
      <c r="BA20" s="14">
        <v>1.48609384106199E-2</v>
      </c>
      <c r="BB20" s="14">
        <v>46.6666666666667</v>
      </c>
      <c r="BC20" s="14">
        <v>34.441609860689098</v>
      </c>
      <c r="BD20" s="14">
        <v>0.20755954214783101</v>
      </c>
      <c r="BE20" s="14">
        <v>215.01</v>
      </c>
      <c r="BF20" s="14">
        <v>2.3254732338030801</v>
      </c>
      <c r="BG20" s="14">
        <v>3.3050414389356297E-2</v>
      </c>
      <c r="BH20" s="14">
        <v>47711.62</v>
      </c>
      <c r="BI20" s="14">
        <v>1.01650056048686</v>
      </c>
      <c r="BJ20" s="14">
        <v>20.4274914343546</v>
      </c>
      <c r="BK20" s="14">
        <v>77409.283333333296</v>
      </c>
      <c r="BL20" s="14">
        <v>1.0551252848633299</v>
      </c>
      <c r="BM20" s="14">
        <v>7898.9366666666701</v>
      </c>
      <c r="BN20" s="14">
        <v>3.7849745424441501</v>
      </c>
      <c r="BO20" s="14">
        <v>316463.59666666703</v>
      </c>
      <c r="BP20" s="14">
        <v>1.0357893994851299</v>
      </c>
      <c r="BQ20" s="14">
        <v>34094.596666666701</v>
      </c>
      <c r="BR20" s="14">
        <v>2.39875070133585</v>
      </c>
      <c r="BS20" s="14">
        <v>86161.773333333302</v>
      </c>
      <c r="BT20" s="14">
        <v>1.18450994663658</v>
      </c>
      <c r="BU20" s="14">
        <v>77134.956666666694</v>
      </c>
      <c r="BV20" s="14">
        <v>0.773640761162806</v>
      </c>
    </row>
    <row r="21" spans="1:74" x14ac:dyDescent="0.35">
      <c r="A21" s="4"/>
      <c r="B21" s="4" t="b">
        <v>0</v>
      </c>
      <c r="C21" s="4" t="s">
        <v>3</v>
      </c>
      <c r="D21" s="1">
        <v>46141.641319444403</v>
      </c>
      <c r="E21" s="6" t="s">
        <v>21</v>
      </c>
      <c r="F21" s="7"/>
      <c r="G21" s="4" t="s">
        <v>39</v>
      </c>
      <c r="H21" s="13" t="s">
        <v>129</v>
      </c>
      <c r="I21" s="14">
        <v>8.3333333333333304</v>
      </c>
      <c r="J21" s="14">
        <v>34.641016151377499</v>
      </c>
      <c r="K21" s="14">
        <v>2.6822971426048499</v>
      </c>
      <c r="L21" s="14">
        <v>32140.1466666667</v>
      </c>
      <c r="M21" s="14">
        <v>0.138738154230021</v>
      </c>
      <c r="N21" s="14">
        <v>26.496703864811099</v>
      </c>
      <c r="O21" s="14">
        <v>1636.79</v>
      </c>
      <c r="P21" s="14">
        <v>4.7360466301175297</v>
      </c>
      <c r="Q21" s="14">
        <v>21.933033019205698</v>
      </c>
      <c r="R21" s="14">
        <v>405.01</v>
      </c>
      <c r="S21" s="14">
        <v>8.0954032299227201</v>
      </c>
      <c r="T21" s="14">
        <v>16.049674606871001</v>
      </c>
      <c r="U21" s="14">
        <v>5484.4666666666699</v>
      </c>
      <c r="V21" s="14">
        <v>9.9790183782051596</v>
      </c>
      <c r="W21" s="14">
        <v>8.0963887475554301</v>
      </c>
      <c r="X21" s="14">
        <v>15333.31</v>
      </c>
      <c r="Y21" s="14">
        <v>1.11602086278899</v>
      </c>
      <c r="Z21" s="14">
        <v>13.3526471060212</v>
      </c>
      <c r="AA21" s="14">
        <v>650.03</v>
      </c>
      <c r="AB21" s="14">
        <v>12.9413304425616</v>
      </c>
      <c r="AC21" s="14">
        <v>1.0834507158247899</v>
      </c>
      <c r="AD21" s="14">
        <v>163853.096666667</v>
      </c>
      <c r="AE21" s="14">
        <v>0.31161436065738701</v>
      </c>
      <c r="AF21" s="14">
        <v>58.715905913229797</v>
      </c>
      <c r="AG21" s="14">
        <v>55064.706666666701</v>
      </c>
      <c r="AH21" s="14">
        <v>0.74842516362934297</v>
      </c>
      <c r="AI21" s="14">
        <v>57.152673967831902</v>
      </c>
      <c r="AJ21" s="14">
        <v>178.333333333333</v>
      </c>
      <c r="AK21" s="14">
        <v>3.2374781449886698</v>
      </c>
      <c r="AL21" s="14">
        <v>3.1478320852573002E-2</v>
      </c>
      <c r="AM21" s="14">
        <v>5447.7833333333301</v>
      </c>
      <c r="AN21" s="14">
        <v>3.7186038264929202</v>
      </c>
      <c r="AO21" s="14">
        <v>11.0594266025437</v>
      </c>
      <c r="AP21" s="14">
        <v>9943.5666666666693</v>
      </c>
      <c r="AQ21" s="14">
        <v>2.8813510079814901</v>
      </c>
      <c r="AR21" s="14">
        <v>8.0418802320529394</v>
      </c>
      <c r="AS21" s="14">
        <v>2543.6033333333298</v>
      </c>
      <c r="AT21" s="14">
        <v>5.3279855530899898</v>
      </c>
      <c r="AU21" s="14">
        <v>12.820132215515599</v>
      </c>
      <c r="AV21" s="14">
        <v>270.01333333333298</v>
      </c>
      <c r="AW21" s="14">
        <v>3.7016692077710101</v>
      </c>
      <c r="AX21" s="14">
        <v>0.109625183787091</v>
      </c>
      <c r="AY21" s="14">
        <v>5</v>
      </c>
      <c r="AZ21" s="14">
        <v>100</v>
      </c>
      <c r="BA21" s="14">
        <v>2.1968462373891901E-2</v>
      </c>
      <c r="BB21" s="14">
        <v>35</v>
      </c>
      <c r="BC21" s="14">
        <v>24.743582965269699</v>
      </c>
      <c r="BD21" s="14">
        <v>0.13147951869450999</v>
      </c>
      <c r="BE21" s="14">
        <v>163.333333333333</v>
      </c>
      <c r="BF21" s="14">
        <v>23.1792177379603</v>
      </c>
      <c r="BG21" s="14">
        <v>1.66613052734669E-2</v>
      </c>
      <c r="BH21" s="14">
        <v>18296.400000000001</v>
      </c>
      <c r="BI21" s="14">
        <v>1.36448110495814</v>
      </c>
      <c r="BJ21" s="14">
        <v>7.6651967086339301</v>
      </c>
      <c r="BK21" s="14">
        <v>74393.843333333294</v>
      </c>
      <c r="BL21" s="14">
        <v>1.05939610462779</v>
      </c>
      <c r="BM21" s="14">
        <v>8125.7233333333297</v>
      </c>
      <c r="BN21" s="14">
        <v>1.35778841697542</v>
      </c>
      <c r="BO21" s="14">
        <v>302621.45333333302</v>
      </c>
      <c r="BP21" s="14">
        <v>0.495059318936658</v>
      </c>
      <c r="BQ21" s="14">
        <v>34445.396666666697</v>
      </c>
      <c r="BR21" s="14">
        <v>1.4114645311260501</v>
      </c>
      <c r="BS21" s="14">
        <v>83011.72</v>
      </c>
      <c r="BT21" s="14">
        <v>1.5355467293138501</v>
      </c>
      <c r="BU21" s="14">
        <v>77500.616666666698</v>
      </c>
      <c r="BV21" s="14">
        <v>2.0373101840629202</v>
      </c>
    </row>
    <row r="22" spans="1:74" x14ac:dyDescent="0.35">
      <c r="A22" s="4"/>
      <c r="B22" s="4" t="b">
        <v>0</v>
      </c>
      <c r="C22" s="4" t="s">
        <v>8</v>
      </c>
      <c r="D22" s="1">
        <v>46141.644282407397</v>
      </c>
      <c r="E22" s="6" t="s">
        <v>21</v>
      </c>
      <c r="F22" s="7"/>
      <c r="G22" s="4" t="s">
        <v>114</v>
      </c>
      <c r="H22" s="13" t="s">
        <v>131</v>
      </c>
      <c r="I22" s="14">
        <v>6.6666666666666696</v>
      </c>
      <c r="J22" s="14">
        <v>43.301270189221903</v>
      </c>
      <c r="K22" s="14">
        <v>1.84610972882209</v>
      </c>
      <c r="L22" s="14">
        <v>31849.51</v>
      </c>
      <c r="M22" s="14">
        <v>0.56822509678809596</v>
      </c>
      <c r="N22" s="14">
        <v>20.335990805356101</v>
      </c>
      <c r="O22" s="14">
        <v>1740.13333333333</v>
      </c>
      <c r="P22" s="14">
        <v>8.5829407726273708</v>
      </c>
      <c r="Q22" s="14">
        <v>22.937649417010601</v>
      </c>
      <c r="R22" s="14">
        <v>381.67666666666702</v>
      </c>
      <c r="S22" s="14">
        <v>16.274372857989999</v>
      </c>
      <c r="T22" s="14">
        <v>14.5330128394463</v>
      </c>
      <c r="U22" s="14">
        <v>5772.8966666666702</v>
      </c>
      <c r="V22" s="14">
        <v>5.0760474033894898</v>
      </c>
      <c r="W22" s="14">
        <v>11.2876400518312</v>
      </c>
      <c r="X22" s="14">
        <v>14565.86</v>
      </c>
      <c r="Y22" s="14">
        <v>1.5220642180716899</v>
      </c>
      <c r="Z22" s="14">
        <v>12.212869820388899</v>
      </c>
      <c r="AA22" s="14">
        <v>588.35333333333301</v>
      </c>
      <c r="AB22" s="14">
        <v>8.0771064039655194</v>
      </c>
      <c r="AC22" s="14">
        <v>0.92139316659047799</v>
      </c>
      <c r="AD22" s="14">
        <v>160063.73333333299</v>
      </c>
      <c r="AE22" s="14">
        <v>0.27421685713448202</v>
      </c>
      <c r="AF22" s="14">
        <v>55.715043402668698</v>
      </c>
      <c r="AG22" s="14">
        <v>54233.243333333303</v>
      </c>
      <c r="AH22" s="14">
        <v>3.39326202816149</v>
      </c>
      <c r="AI22" s="14">
        <v>54.7905278439992</v>
      </c>
      <c r="AJ22" s="14">
        <v>211.67</v>
      </c>
      <c r="AK22" s="14">
        <v>9.5487296549895806</v>
      </c>
      <c r="AL22" s="14">
        <v>4.9166050604448702E-2</v>
      </c>
      <c r="AM22" s="14">
        <v>5299.4066666666704</v>
      </c>
      <c r="AN22" s="14">
        <v>3.5499980652406902</v>
      </c>
      <c r="AO22" s="14">
        <v>10.507346065647299</v>
      </c>
      <c r="AP22" s="14">
        <v>10789.223333333301</v>
      </c>
      <c r="AQ22" s="14">
        <v>0.69236135197279702</v>
      </c>
      <c r="AR22" s="14">
        <v>8.5695498205879908</v>
      </c>
      <c r="AS22" s="14">
        <v>3732.21333333333</v>
      </c>
      <c r="AT22" s="14">
        <v>2.6847956851818799</v>
      </c>
      <c r="AU22" s="14">
        <v>18.8896929664735</v>
      </c>
      <c r="AV22" s="14">
        <v>200.01</v>
      </c>
      <c r="AW22" s="14">
        <v>9.9995000249986603</v>
      </c>
      <c r="AX22" s="14">
        <v>6.6366383697632703E-2</v>
      </c>
      <c r="AY22" s="14">
        <v>1.6666666666666701</v>
      </c>
      <c r="AZ22" s="14">
        <v>173.20508075688801</v>
      </c>
      <c r="BA22" s="14">
        <v>7.3882127845522E-3</v>
      </c>
      <c r="BB22" s="14">
        <v>48.3333333333333</v>
      </c>
      <c r="BC22" s="14">
        <v>23.8903559664673</v>
      </c>
      <c r="BD22" s="14">
        <v>0.20021136978031501</v>
      </c>
      <c r="BE22" s="14">
        <v>193.34</v>
      </c>
      <c r="BF22" s="14">
        <v>14.707410405555301</v>
      </c>
      <c r="BG22" s="14">
        <v>2.3272168290910101E-2</v>
      </c>
      <c r="BH22" s="14">
        <v>26707.4666666667</v>
      </c>
      <c r="BI22" s="14">
        <v>2.032762459433</v>
      </c>
      <c r="BJ22" s="14">
        <v>10.915385463705499</v>
      </c>
      <c r="BK22" s="14">
        <v>75940.25</v>
      </c>
      <c r="BL22" s="14">
        <v>1.13343094932126</v>
      </c>
      <c r="BM22" s="14">
        <v>8422.66</v>
      </c>
      <c r="BN22" s="14">
        <v>15.828739435376599</v>
      </c>
      <c r="BO22" s="14">
        <v>310101.15666666703</v>
      </c>
      <c r="BP22" s="14">
        <v>1.2932081010894101</v>
      </c>
      <c r="BQ22" s="14">
        <v>36384.019999999997</v>
      </c>
      <c r="BR22" s="14">
        <v>15.9778929848631</v>
      </c>
      <c r="BS22" s="14">
        <v>84759.67</v>
      </c>
      <c r="BT22" s="14">
        <v>1.25098863120305</v>
      </c>
      <c r="BU22" s="14">
        <v>81237.9433333333</v>
      </c>
      <c r="BV22" s="14">
        <v>14.343871432807701</v>
      </c>
    </row>
    <row r="23" spans="1:74" x14ac:dyDescent="0.35">
      <c r="A23" s="4"/>
      <c r="B23" s="4" t="b">
        <v>0</v>
      </c>
      <c r="C23" s="4" t="s">
        <v>71</v>
      </c>
      <c r="D23" s="1">
        <v>46141.647199074097</v>
      </c>
      <c r="E23" s="6" t="s">
        <v>21</v>
      </c>
      <c r="F23" s="7"/>
      <c r="G23" s="4" t="s">
        <v>111</v>
      </c>
      <c r="H23" s="13" t="s">
        <v>132</v>
      </c>
      <c r="I23" s="14">
        <v>15</v>
      </c>
      <c r="J23" s="14">
        <v>57.735026918962603</v>
      </c>
      <c r="K23" s="14">
        <v>5.6115799921593599</v>
      </c>
      <c r="L23" s="14">
        <v>33120.536666666703</v>
      </c>
      <c r="M23" s="14">
        <v>0.54143114624906097</v>
      </c>
      <c r="N23" s="14">
        <v>40.796313150531901</v>
      </c>
      <c r="O23" s="14">
        <v>1790.14</v>
      </c>
      <c r="P23" s="14">
        <v>5.8664206646571104</v>
      </c>
      <c r="Q23" s="14">
        <v>24.992041856932701</v>
      </c>
      <c r="R23" s="14">
        <v>393.34333333333302</v>
      </c>
      <c r="S23" s="14">
        <v>1.94171999650696</v>
      </c>
      <c r="T23" s="14">
        <v>16.1352836977617</v>
      </c>
      <c r="U23" s="14">
        <v>5856.2666666666701</v>
      </c>
      <c r="V23" s="14">
        <v>6.8731337869608797</v>
      </c>
      <c r="W23" s="14">
        <v>20.582318524402201</v>
      </c>
      <c r="X23" s="14">
        <v>15089.7133333333</v>
      </c>
      <c r="Y23" s="14">
        <v>0.39539003360343999</v>
      </c>
      <c r="Z23" s="14">
        <v>13.6593775447773</v>
      </c>
      <c r="AA23" s="14">
        <v>636.69333333333304</v>
      </c>
      <c r="AB23" s="14">
        <v>12.073166260299899</v>
      </c>
      <c r="AC23" s="14">
        <v>1.0992212606254801</v>
      </c>
      <c r="AD23" s="14">
        <v>156447.31</v>
      </c>
      <c r="AE23" s="14">
        <v>0.54276155548004101</v>
      </c>
      <c r="AF23" s="14">
        <v>54.536952187149303</v>
      </c>
      <c r="AG23" s="14">
        <v>52732.723333333299</v>
      </c>
      <c r="AH23" s="14">
        <v>1.47086451780132</v>
      </c>
      <c r="AI23" s="14">
        <v>56.480964760444003</v>
      </c>
      <c r="AJ23" s="14">
        <v>155</v>
      </c>
      <c r="AK23" s="14">
        <v>3.2258064516128999</v>
      </c>
      <c r="AL23" s="14">
        <v>2.00264100346258E-2</v>
      </c>
      <c r="AM23" s="14">
        <v>5332.7433333333302</v>
      </c>
      <c r="AN23" s="14">
        <v>5.2603934581423504</v>
      </c>
      <c r="AO23" s="14">
        <v>11.2296823458768</v>
      </c>
      <c r="AP23" s="14">
        <v>6213.1333333333296</v>
      </c>
      <c r="AQ23" s="14">
        <v>0.72639752299051796</v>
      </c>
      <c r="AR23" s="14">
        <v>5.10921601266016</v>
      </c>
      <c r="AS23" s="14">
        <v>1646.79</v>
      </c>
      <c r="AT23" s="14">
        <v>2.7214785020220602</v>
      </c>
      <c r="AU23" s="14">
        <v>8.2679274252548307</v>
      </c>
      <c r="AV23" s="14">
        <v>183.34333333333299</v>
      </c>
      <c r="AW23" s="14">
        <v>8.3315013634816193</v>
      </c>
      <c r="AX23" s="14">
        <v>5.9909381808838702E-2</v>
      </c>
      <c r="AY23" s="14">
        <v>1.6666666666666701</v>
      </c>
      <c r="AZ23" s="14">
        <v>173.20508075688801</v>
      </c>
      <c r="BA23" s="14">
        <v>7.1763486525420099E-3</v>
      </c>
      <c r="BB23" s="14">
        <v>53.3333333333333</v>
      </c>
      <c r="BC23" s="14">
        <v>28.641098093474</v>
      </c>
      <c r="BD23" s="14">
        <v>0.235378535074139</v>
      </c>
      <c r="BE23" s="14">
        <v>148.333333333333</v>
      </c>
      <c r="BF23" s="14">
        <v>12.7615917883153</v>
      </c>
      <c r="BG23" s="14">
        <v>1.1941940624289899E-2</v>
      </c>
      <c r="BH23" s="14">
        <v>16997.88</v>
      </c>
      <c r="BI23" s="14">
        <v>1.1844997656371801</v>
      </c>
      <c r="BJ23" s="14">
        <v>7.0991286373059603</v>
      </c>
      <c r="BK23" s="14">
        <v>75568.293333333306</v>
      </c>
      <c r="BL23" s="14">
        <v>1.8547995729451701</v>
      </c>
      <c r="BM23" s="14">
        <v>7857.2133333333304</v>
      </c>
      <c r="BN23" s="14">
        <v>3.27701027112222</v>
      </c>
      <c r="BO23" s="14">
        <v>308528.43</v>
      </c>
      <c r="BP23" s="14">
        <v>1.20437921622415</v>
      </c>
      <c r="BQ23" s="14">
        <v>35340.933333333298</v>
      </c>
      <c r="BR23" s="14">
        <v>1.03936252288289</v>
      </c>
      <c r="BS23" s="14">
        <v>84511.34</v>
      </c>
      <c r="BT23" s="14">
        <v>1.05694368928319</v>
      </c>
      <c r="BU23" s="14">
        <v>77570.820000000007</v>
      </c>
      <c r="BV23" s="14">
        <v>1.1574038734418901</v>
      </c>
    </row>
    <row r="24" spans="1:74" x14ac:dyDescent="0.35">
      <c r="A24" s="4"/>
      <c r="B24" s="4" t="b">
        <v>0</v>
      </c>
      <c r="C24" s="4" t="s">
        <v>81</v>
      </c>
      <c r="D24" s="1">
        <v>46141.650162037004</v>
      </c>
      <c r="E24" s="6" t="s">
        <v>21</v>
      </c>
      <c r="F24" s="7"/>
      <c r="G24" s="4" t="s">
        <v>36</v>
      </c>
      <c r="H24" s="15" t="s">
        <v>134</v>
      </c>
      <c r="I24" s="16">
        <v>101.666666666667</v>
      </c>
      <c r="J24" s="16">
        <v>7.5124191720587898</v>
      </c>
      <c r="K24" s="16">
        <v>43.842778991917598</v>
      </c>
      <c r="L24" s="16">
        <v>360716.686666667</v>
      </c>
      <c r="M24" s="16">
        <v>1.43220667323319</v>
      </c>
      <c r="N24" s="16">
        <v>2475.1093086204301</v>
      </c>
      <c r="O24" s="16">
        <v>3702.1966666666699</v>
      </c>
      <c r="P24" s="16">
        <v>6.81671934169003</v>
      </c>
      <c r="Q24" s="16">
        <v>56.392784577773099</v>
      </c>
      <c r="R24" s="16">
        <v>468.35</v>
      </c>
      <c r="S24" s="16">
        <v>3.08244781614964</v>
      </c>
      <c r="T24" s="16">
        <v>21.083525443384399</v>
      </c>
      <c r="U24" s="16">
        <v>25221.96</v>
      </c>
      <c r="V24" s="16">
        <v>1.10843097635578</v>
      </c>
      <c r="W24" s="16">
        <v>488.41380828861401</v>
      </c>
      <c r="X24" s="16">
        <v>15214.8433333333</v>
      </c>
      <c r="Y24" s="16">
        <v>0.60356139651414198</v>
      </c>
      <c r="Z24" s="16">
        <v>14.9031313417139</v>
      </c>
      <c r="AA24" s="16">
        <v>686.69333333333304</v>
      </c>
      <c r="AB24" s="16">
        <v>12.8275655812339</v>
      </c>
      <c r="AC24" s="16">
        <v>1.3293685592569799</v>
      </c>
      <c r="AD24" s="16">
        <v>168483.06</v>
      </c>
      <c r="AE24" s="16">
        <v>0.36797302544936</v>
      </c>
      <c r="AF24" s="16">
        <v>58.373045543329702</v>
      </c>
      <c r="AG24" s="16">
        <v>57448.87</v>
      </c>
      <c r="AH24" s="16">
        <v>2.6218516633494802</v>
      </c>
      <c r="AI24" s="16">
        <v>68.188000996822396</v>
      </c>
      <c r="AJ24" s="16">
        <v>353.34333333333302</v>
      </c>
      <c r="AK24" s="16">
        <v>9.2069192833896007</v>
      </c>
      <c r="AL24" s="16">
        <v>0.165526224715148</v>
      </c>
      <c r="AM24" s="16">
        <v>5411.11333333333</v>
      </c>
      <c r="AN24" s="16">
        <v>5.0231189506544398</v>
      </c>
      <c r="AO24" s="16">
        <v>12.234962140175901</v>
      </c>
      <c r="AP24" s="16">
        <v>59889.196666666699</v>
      </c>
      <c r="AQ24" s="16">
        <v>0.96466167367863898</v>
      </c>
      <c r="AR24" s="16">
        <v>54.7401211550293</v>
      </c>
      <c r="AS24" s="16">
        <v>2218.5433333333299</v>
      </c>
      <c r="AT24" s="16">
        <v>4.2311683216985596</v>
      </c>
      <c r="AU24" s="16">
        <v>12.256782858196299</v>
      </c>
      <c r="AV24" s="16">
        <v>216.67666666666699</v>
      </c>
      <c r="AW24" s="16">
        <v>18.6519939894808</v>
      </c>
      <c r="AX24" s="16">
        <v>8.9291007647591597E-2</v>
      </c>
      <c r="AY24" s="16">
        <v>6.6666666666666696</v>
      </c>
      <c r="AZ24" s="16">
        <v>114.564392373896</v>
      </c>
      <c r="BA24" s="16">
        <v>3.3214935991357497E-2</v>
      </c>
      <c r="BB24" s="16">
        <v>496.68666666666701</v>
      </c>
      <c r="BC24" s="16">
        <v>6.70274497518154</v>
      </c>
      <c r="BD24" s="16">
        <v>3.2368762768539301</v>
      </c>
      <c r="BE24" s="16">
        <v>181.67</v>
      </c>
      <c r="BF24" s="16">
        <v>20.659919041774899</v>
      </c>
      <c r="BG24" s="16">
        <v>2.68626170563015E-2</v>
      </c>
      <c r="BH24" s="16">
        <v>13633.9433333333</v>
      </c>
      <c r="BI24" s="16">
        <v>1.13880161114342</v>
      </c>
      <c r="BJ24" s="16">
        <v>6.1099632808014004</v>
      </c>
      <c r="BK24" s="16">
        <v>76876.63</v>
      </c>
      <c r="BL24" s="16">
        <v>1.51929777557318</v>
      </c>
      <c r="BM24" s="16">
        <v>7402.0133333333297</v>
      </c>
      <c r="BN24" s="16">
        <v>7.14822824326132</v>
      </c>
      <c r="BO24" s="16">
        <v>313646.74666666699</v>
      </c>
      <c r="BP24" s="16">
        <v>0.39942522846065198</v>
      </c>
      <c r="BQ24" s="16">
        <v>31913.343333333301</v>
      </c>
      <c r="BR24" s="16">
        <v>7.0211182408148396</v>
      </c>
      <c r="BS24" s="16">
        <v>84992.47</v>
      </c>
      <c r="BT24" s="16">
        <v>1.04980671282377</v>
      </c>
      <c r="BU24" s="16">
        <v>72089.083333333299</v>
      </c>
      <c r="BV24" s="16">
        <v>6.0311184960723399</v>
      </c>
    </row>
    <row r="25" spans="1:74" x14ac:dyDescent="0.35">
      <c r="A25" s="4"/>
      <c r="B25" s="4" t="b">
        <v>0</v>
      </c>
      <c r="C25" s="4" t="s">
        <v>107</v>
      </c>
      <c r="D25" s="1">
        <v>46141.653078703697</v>
      </c>
      <c r="E25" s="6" t="s">
        <v>21</v>
      </c>
      <c r="F25" s="7"/>
      <c r="G25" s="4" t="s">
        <v>79</v>
      </c>
      <c r="H25" s="15" t="s">
        <v>135</v>
      </c>
      <c r="I25" s="16">
        <v>110</v>
      </c>
      <c r="J25" s="16">
        <v>12.026142323020901</v>
      </c>
      <c r="K25" s="16">
        <v>43.0446475966029</v>
      </c>
      <c r="L25" s="16">
        <v>375109.27666666702</v>
      </c>
      <c r="M25" s="16">
        <v>0.85646530100325102</v>
      </c>
      <c r="N25" s="16">
        <v>2314.25144787115</v>
      </c>
      <c r="O25" s="16">
        <v>4327.3733333333303</v>
      </c>
      <c r="P25" s="16">
        <v>1.7038499847829101</v>
      </c>
      <c r="Q25" s="16">
        <v>59.638426491987502</v>
      </c>
      <c r="R25" s="16">
        <v>426.68</v>
      </c>
      <c r="S25" s="16">
        <v>9.1035075907466094</v>
      </c>
      <c r="T25" s="16">
        <v>16.878144706055402</v>
      </c>
      <c r="U25" s="16">
        <v>25993.323333333301</v>
      </c>
      <c r="V25" s="16">
        <v>0.51389045294484603</v>
      </c>
      <c r="W25" s="16">
        <v>446.84216386085302</v>
      </c>
      <c r="X25" s="16">
        <v>15406.78</v>
      </c>
      <c r="Y25" s="16">
        <v>1.93457178948784</v>
      </c>
      <c r="Z25" s="16">
        <v>13.3403464162521</v>
      </c>
      <c r="AA25" s="16">
        <v>588.36</v>
      </c>
      <c r="AB25" s="16">
        <v>16.7692230973854</v>
      </c>
      <c r="AC25" s="16">
        <v>0.92391675120686001</v>
      </c>
      <c r="AD25" s="16">
        <v>153469.57</v>
      </c>
      <c r="AE25" s="16">
        <v>1.2511575747113901</v>
      </c>
      <c r="AF25" s="16">
        <v>52.1962292905135</v>
      </c>
      <c r="AG25" s="16">
        <v>51742.3766666667</v>
      </c>
      <c r="AH25" s="16">
        <v>1.75279007237064</v>
      </c>
      <c r="AI25" s="16">
        <v>52.3077826053294</v>
      </c>
      <c r="AJ25" s="16">
        <v>135</v>
      </c>
      <c r="AK25" s="16">
        <v>19.5981578597377</v>
      </c>
      <c r="AL25" s="16">
        <v>3.1525392480134498E-3</v>
      </c>
      <c r="AM25" s="16">
        <v>5532.8133333333299</v>
      </c>
      <c r="AN25" s="16">
        <v>1.5927123269863399</v>
      </c>
      <c r="AO25" s="16">
        <v>11.1853798219434</v>
      </c>
      <c r="AP25" s="16">
        <v>12237.07</v>
      </c>
      <c r="AQ25" s="16">
        <v>0.874846056929936</v>
      </c>
      <c r="AR25" s="16">
        <v>9.8951467799458808</v>
      </c>
      <c r="AS25" s="16">
        <v>2576.94333333333</v>
      </c>
      <c r="AT25" s="16">
        <v>1.40418085161397</v>
      </c>
      <c r="AU25" s="16">
        <v>12.910480049735099</v>
      </c>
      <c r="AV25" s="16">
        <v>173.34333333333299</v>
      </c>
      <c r="AW25" s="16">
        <v>14.5180747942824</v>
      </c>
      <c r="AX25" s="16">
        <v>5.4331068967025803E-2</v>
      </c>
      <c r="AY25" s="16">
        <v>1.6666666666666701</v>
      </c>
      <c r="AZ25" s="16">
        <v>173.20508075688801</v>
      </c>
      <c r="BA25" s="16">
        <v>7.1509344094956703E-3</v>
      </c>
      <c r="BB25" s="16">
        <v>855.04333333333295</v>
      </c>
      <c r="BC25" s="16">
        <v>8.8303878380809806</v>
      </c>
      <c r="BD25" s="16">
        <v>5.0350358639279396</v>
      </c>
      <c r="BE25" s="16">
        <v>203.33666666666701</v>
      </c>
      <c r="BF25" s="16">
        <v>26.295872344190499</v>
      </c>
      <c r="BG25" s="16">
        <v>2.8726259123247701E-2</v>
      </c>
      <c r="BH25" s="16">
        <v>1666.8033333333301</v>
      </c>
      <c r="BI25" s="16">
        <v>5.5753800510370199</v>
      </c>
      <c r="BJ25" s="16">
        <v>0.49969683319445501</v>
      </c>
      <c r="BK25" s="16">
        <v>76863.566666666695</v>
      </c>
      <c r="BL25" s="16">
        <v>2.16988776415899</v>
      </c>
      <c r="BM25" s="16">
        <v>8184.09</v>
      </c>
      <c r="BN25" s="16">
        <v>4.7288735383601699</v>
      </c>
      <c r="BO25" s="16">
        <v>315944.67</v>
      </c>
      <c r="BP25" s="16">
        <v>0.226659265971833</v>
      </c>
      <c r="BQ25" s="16">
        <v>35481.276666666701</v>
      </c>
      <c r="BR25" s="16">
        <v>1.42539680175956</v>
      </c>
      <c r="BS25" s="16">
        <v>85544.53</v>
      </c>
      <c r="BT25" s="16">
        <v>0.45317966218851502</v>
      </c>
      <c r="BU25" s="16">
        <v>77986.606666666703</v>
      </c>
      <c r="BV25" s="16">
        <v>0.73476307980148003</v>
      </c>
    </row>
    <row r="26" spans="1:74" x14ac:dyDescent="0.35">
      <c r="A26" s="4"/>
      <c r="B26" s="4" t="b">
        <v>0</v>
      </c>
      <c r="C26" s="4" t="s">
        <v>116</v>
      </c>
      <c r="D26" s="1">
        <v>46141.656053240702</v>
      </c>
      <c r="E26" s="6" t="s">
        <v>21</v>
      </c>
      <c r="F26" s="7"/>
      <c r="G26" s="4" t="s">
        <v>117</v>
      </c>
      <c r="H26" s="15" t="s">
        <v>136</v>
      </c>
      <c r="I26" s="16">
        <v>85</v>
      </c>
      <c r="J26" s="16">
        <v>31.126486012524602</v>
      </c>
      <c r="K26" s="16">
        <v>33.700376590207</v>
      </c>
      <c r="L26" s="16">
        <v>359409.69333333301</v>
      </c>
      <c r="M26" s="16">
        <v>0.63881698306318502</v>
      </c>
      <c r="N26" s="16">
        <v>2250.7389926229198</v>
      </c>
      <c r="O26" s="16">
        <v>3215.3933333333298</v>
      </c>
      <c r="P26" s="16">
        <v>1.23467007117426</v>
      </c>
      <c r="Q26" s="16">
        <v>44.802451469306902</v>
      </c>
      <c r="R26" s="16">
        <v>566.68666666666695</v>
      </c>
      <c r="S26" s="16">
        <v>7.39958920591571</v>
      </c>
      <c r="T26" s="16">
        <v>23.668836989358098</v>
      </c>
      <c r="U26" s="16">
        <v>24854.71</v>
      </c>
      <c r="V26" s="16">
        <v>2.47946711659106</v>
      </c>
      <c r="W26" s="16">
        <v>431.61332170005699</v>
      </c>
      <c r="X26" s="16">
        <v>15279.96</v>
      </c>
      <c r="Y26" s="16">
        <v>1.63612081573496</v>
      </c>
      <c r="Z26" s="16">
        <v>13.484216671261599</v>
      </c>
      <c r="AA26" s="16">
        <v>631.69000000000005</v>
      </c>
      <c r="AB26" s="16">
        <v>14.2557302137406</v>
      </c>
      <c r="AC26" s="16">
        <v>1.0557604683749799</v>
      </c>
      <c r="AD26" s="16">
        <v>149359.09</v>
      </c>
      <c r="AE26" s="16">
        <v>1.1164568039640099</v>
      </c>
      <c r="AF26" s="16">
        <v>51.358312524224502</v>
      </c>
      <c r="AG26" s="16">
        <v>51561.726666666698</v>
      </c>
      <c r="AH26" s="16">
        <v>1.7207276779437399</v>
      </c>
      <c r="AI26" s="16">
        <v>53.229426747291598</v>
      </c>
      <c r="AJ26" s="16">
        <v>151.666666666667</v>
      </c>
      <c r="AK26" s="16">
        <v>10.5974184186736</v>
      </c>
      <c r="AL26" s="16">
        <v>1.5774087438484401E-2</v>
      </c>
      <c r="AM26" s="16">
        <v>5234.3533333333298</v>
      </c>
      <c r="AN26" s="16">
        <v>1.69926242087083</v>
      </c>
      <c r="AO26" s="16">
        <v>10.7041058414733</v>
      </c>
      <c r="AP26" s="16">
        <v>11079.426666666701</v>
      </c>
      <c r="AQ26" s="16">
        <v>0.97735922725361302</v>
      </c>
      <c r="AR26" s="16">
        <v>9.0937862648593697</v>
      </c>
      <c r="AS26" s="16">
        <v>3255.43</v>
      </c>
      <c r="AT26" s="16">
        <v>1.6619212777458601</v>
      </c>
      <c r="AU26" s="16">
        <v>16.875414937183901</v>
      </c>
      <c r="AV26" s="16">
        <v>153.33666666666701</v>
      </c>
      <c r="AW26" s="16">
        <v>33.4698391984114</v>
      </c>
      <c r="AX26" s="16">
        <v>4.5729259559399403E-2</v>
      </c>
      <c r="AY26" s="16">
        <v>1.6666666666666701</v>
      </c>
      <c r="AZ26" s="16">
        <v>173.20508075688801</v>
      </c>
      <c r="BA26" s="16">
        <v>7.3806474151370503E-3</v>
      </c>
      <c r="BB26" s="16">
        <v>980.05333333333294</v>
      </c>
      <c r="BC26" s="16">
        <v>10.689940975794</v>
      </c>
      <c r="BD26" s="16">
        <v>5.9249085353285302</v>
      </c>
      <c r="BE26" s="16">
        <v>308.34333333333302</v>
      </c>
      <c r="BF26" s="16">
        <v>17.186591889543799</v>
      </c>
      <c r="BG26" s="16">
        <v>6.1564237270429402E-2</v>
      </c>
      <c r="BH26" s="16">
        <v>2366.92333333333</v>
      </c>
      <c r="BI26" s="16">
        <v>6.8278129916988499</v>
      </c>
      <c r="BJ26" s="16">
        <v>0.80298602017935705</v>
      </c>
      <c r="BK26" s="16">
        <v>75800.963333333304</v>
      </c>
      <c r="BL26" s="16">
        <v>1.00142126260171</v>
      </c>
      <c r="BM26" s="16">
        <v>8035.6733333333304</v>
      </c>
      <c r="BN26" s="16">
        <v>2.6016938642157399</v>
      </c>
      <c r="BO26" s="16">
        <v>310567.59999999998</v>
      </c>
      <c r="BP26" s="16">
        <v>0.38501995110017301</v>
      </c>
      <c r="BQ26" s="16">
        <v>34699.53</v>
      </c>
      <c r="BR26" s="16">
        <v>1.6397381164642699</v>
      </c>
      <c r="BS26" s="16">
        <v>84833.18</v>
      </c>
      <c r="BT26" s="16">
        <v>1.1317682709947401</v>
      </c>
      <c r="BU26" s="16">
        <v>77675</v>
      </c>
      <c r="BV26" s="16">
        <v>1.2129665583537099</v>
      </c>
    </row>
    <row r="27" spans="1:74" x14ac:dyDescent="0.35">
      <c r="A27" s="4"/>
      <c r="B27" s="4" t="b">
        <v>0</v>
      </c>
      <c r="C27" s="4" t="s">
        <v>16</v>
      </c>
      <c r="D27" s="1">
        <v>46141.658969907403</v>
      </c>
      <c r="E27" s="6" t="s">
        <v>21</v>
      </c>
      <c r="F27" s="7"/>
      <c r="G27" s="4" t="s">
        <v>28</v>
      </c>
      <c r="H27" s="15" t="s">
        <v>137</v>
      </c>
      <c r="I27" s="16">
        <v>96.6666666666667</v>
      </c>
      <c r="J27" s="16">
        <v>16.626984070677501</v>
      </c>
      <c r="K27" s="16">
        <v>39.179071268687899</v>
      </c>
      <c r="L27" s="16">
        <v>362643.94</v>
      </c>
      <c r="M27" s="16">
        <v>0.72614238246875595</v>
      </c>
      <c r="N27" s="16">
        <v>2316.74092545247</v>
      </c>
      <c r="O27" s="16">
        <v>3183.7333333333299</v>
      </c>
      <c r="P27" s="16">
        <v>6.0847451307019602</v>
      </c>
      <c r="Q27" s="16">
        <v>45.097562396175</v>
      </c>
      <c r="R27" s="16">
        <v>638.36</v>
      </c>
      <c r="S27" s="16">
        <v>5.3324030368092803</v>
      </c>
      <c r="T27" s="16">
        <v>27.4896161387266</v>
      </c>
      <c r="U27" s="16">
        <v>24949.86</v>
      </c>
      <c r="V27" s="16">
        <v>1.9489415648440001</v>
      </c>
      <c r="W27" s="16">
        <v>443.61286759437797</v>
      </c>
      <c r="X27" s="16">
        <v>14801.1033333333</v>
      </c>
      <c r="Y27" s="16">
        <v>1.3960154672176599</v>
      </c>
      <c r="Z27" s="16">
        <v>13.244595527208199</v>
      </c>
      <c r="AA27" s="16">
        <v>603.35666666666702</v>
      </c>
      <c r="AB27" s="16">
        <v>6.7502973201533996</v>
      </c>
      <c r="AC27" s="16">
        <v>1.0173246210507101</v>
      </c>
      <c r="AD27" s="16">
        <v>141677.843333333</v>
      </c>
      <c r="AE27" s="16">
        <v>0.26596909121470902</v>
      </c>
      <c r="AF27" s="16">
        <v>48.842430831050898</v>
      </c>
      <c r="AG27" s="16">
        <v>49180.186666666697</v>
      </c>
      <c r="AH27" s="16">
        <v>2.9378526559099898</v>
      </c>
      <c r="AI27" s="16">
        <v>51.243520559937103</v>
      </c>
      <c r="AJ27" s="16">
        <v>155.00333333333299</v>
      </c>
      <c r="AK27" s="16">
        <v>17.0726538785622</v>
      </c>
      <c r="AL27" s="16">
        <v>1.9615588268218999E-2</v>
      </c>
      <c r="AM27" s="16">
        <v>5432.7733333333299</v>
      </c>
      <c r="AN27" s="16">
        <v>2.1262849599032698</v>
      </c>
      <c r="AO27" s="16">
        <v>11.392289050024599</v>
      </c>
      <c r="AP27" s="16">
        <v>8844.5300000000007</v>
      </c>
      <c r="AQ27" s="16">
        <v>6.0727616659838102</v>
      </c>
      <c r="AR27" s="16">
        <v>7.3464350953055604</v>
      </c>
      <c r="AS27" s="16">
        <v>2111.86</v>
      </c>
      <c r="AT27" s="16">
        <v>3.3181519460745101</v>
      </c>
      <c r="AU27" s="16">
        <v>10.817147756786699</v>
      </c>
      <c r="AV27" s="16">
        <v>220.01</v>
      </c>
      <c r="AW27" s="16">
        <v>27.647663880270098</v>
      </c>
      <c r="AX27" s="16">
        <v>8.6169401510914595E-2</v>
      </c>
      <c r="AY27" s="16">
        <v>5</v>
      </c>
      <c r="AZ27" s="16">
        <v>100</v>
      </c>
      <c r="BA27" s="16">
        <v>2.36382807601936E-2</v>
      </c>
      <c r="BB27" s="16">
        <v>1090.06666666667</v>
      </c>
      <c r="BC27" s="16">
        <v>4.4239456651870404</v>
      </c>
      <c r="BD27" s="16">
        <v>6.9108981756493799</v>
      </c>
      <c r="BE27" s="16">
        <v>203.34</v>
      </c>
      <c r="BF27" s="16">
        <v>15.809765364207299</v>
      </c>
      <c r="BG27" s="16">
        <v>3.2456941167221601E-2</v>
      </c>
      <c r="BH27" s="16">
        <v>1860.16</v>
      </c>
      <c r="BI27" s="16">
        <v>2.5646674901859998</v>
      </c>
      <c r="BJ27" s="16">
        <v>0.62647404253537498</v>
      </c>
      <c r="BK27" s="16">
        <v>74926.460000000006</v>
      </c>
      <c r="BL27" s="16">
        <v>1.14811493457293</v>
      </c>
      <c r="BM27" s="16">
        <v>7898.9333333333298</v>
      </c>
      <c r="BN27" s="16">
        <v>4.0558381744231102</v>
      </c>
      <c r="BO27" s="16">
        <v>306526.33</v>
      </c>
      <c r="BP27" s="16">
        <v>0.40032379238084298</v>
      </c>
      <c r="BQ27" s="16">
        <v>33202.603333333303</v>
      </c>
      <c r="BR27" s="16">
        <v>4.6741373000532196</v>
      </c>
      <c r="BS27" s="16">
        <v>83521.486666666693</v>
      </c>
      <c r="BT27" s="16">
        <v>1.46826317892838</v>
      </c>
      <c r="BU27" s="16">
        <v>74045.893333333297</v>
      </c>
      <c r="BV27" s="16">
        <v>4.5695297789768299</v>
      </c>
    </row>
    <row r="28" spans="1:74" x14ac:dyDescent="0.35">
      <c r="A28" s="4"/>
      <c r="B28" s="4" t="b">
        <v>0</v>
      </c>
      <c r="C28" s="4" t="s">
        <v>66</v>
      </c>
      <c r="D28" s="1">
        <v>46141.661932870396</v>
      </c>
      <c r="E28" s="6" t="s">
        <v>21</v>
      </c>
      <c r="F28" s="7"/>
      <c r="G28" s="4" t="s">
        <v>106</v>
      </c>
      <c r="H28" s="15" t="s">
        <v>136</v>
      </c>
      <c r="I28" s="16">
        <v>80</v>
      </c>
      <c r="J28" s="16">
        <v>12.5</v>
      </c>
      <c r="K28" s="16">
        <v>32.099118263482097</v>
      </c>
      <c r="L28" s="16">
        <v>360164.813333333</v>
      </c>
      <c r="M28" s="16">
        <v>2.1371005736155499</v>
      </c>
      <c r="N28" s="16">
        <v>2313.4890431075401</v>
      </c>
      <c r="O28" s="16">
        <v>3292.0833333333298</v>
      </c>
      <c r="P28" s="16">
        <v>3.33257010555739</v>
      </c>
      <c r="Q28" s="16">
        <v>47.043573803005202</v>
      </c>
      <c r="R28" s="16">
        <v>556.68666666666695</v>
      </c>
      <c r="S28" s="16">
        <v>14.9575416413743</v>
      </c>
      <c r="T28" s="16">
        <v>24.110876103262601</v>
      </c>
      <c r="U28" s="16">
        <v>24393.9666666667</v>
      </c>
      <c r="V28" s="16">
        <v>3.0332847805647298</v>
      </c>
      <c r="W28" s="16">
        <v>433.30069857114501</v>
      </c>
      <c r="X28" s="16">
        <v>14842.803333333301</v>
      </c>
      <c r="Y28" s="16">
        <v>1.96534934480825</v>
      </c>
      <c r="Z28" s="16">
        <v>13.3823354174214</v>
      </c>
      <c r="AA28" s="16">
        <v>556.68666666666695</v>
      </c>
      <c r="AB28" s="16">
        <v>13.087848936202599</v>
      </c>
      <c r="AC28" s="16">
        <v>0.88836707353743205</v>
      </c>
      <c r="AD28" s="16">
        <v>140316.76999999999</v>
      </c>
      <c r="AE28" s="16">
        <v>0.38840631389666203</v>
      </c>
      <c r="AF28" s="16">
        <v>47.154138019972699</v>
      </c>
      <c r="AG28" s="16">
        <v>48324</v>
      </c>
      <c r="AH28" s="16">
        <v>2.29824209174767</v>
      </c>
      <c r="AI28" s="16">
        <v>50.368563468510999</v>
      </c>
      <c r="AJ28" s="16">
        <v>138.333333333333</v>
      </c>
      <c r="AK28" s="16">
        <v>10.434041009451001</v>
      </c>
      <c r="AL28" s="16">
        <v>8.0288938343748405E-3</v>
      </c>
      <c r="AM28" s="16">
        <v>5316.0666666666702</v>
      </c>
      <c r="AN28" s="16">
        <v>1.1094287269952601</v>
      </c>
      <c r="AO28" s="16">
        <v>11.1758555450633</v>
      </c>
      <c r="AP28" s="16">
        <v>9473.2566666666698</v>
      </c>
      <c r="AQ28" s="16">
        <v>4.83724024581453</v>
      </c>
      <c r="AR28" s="16">
        <v>7.9540807659945898</v>
      </c>
      <c r="AS28" s="16">
        <v>2573.61</v>
      </c>
      <c r="AT28" s="16">
        <v>3.2182622938879502</v>
      </c>
      <c r="AU28" s="16">
        <v>13.492151652319601</v>
      </c>
      <c r="AV28" s="16">
        <v>136.66999999999999</v>
      </c>
      <c r="AW28" s="16">
        <v>4.2201867192539497</v>
      </c>
      <c r="AX28" s="16">
        <v>3.7169542783959501E-2</v>
      </c>
      <c r="AY28" s="16">
        <v>6.6666666666666696</v>
      </c>
      <c r="AZ28" s="16">
        <v>43.301270189221903</v>
      </c>
      <c r="BA28" s="16">
        <v>2.85488449750756E-2</v>
      </c>
      <c r="BB28" s="16">
        <v>946.71666666666704</v>
      </c>
      <c r="BC28" s="16">
        <v>9.7726850443349704</v>
      </c>
      <c r="BD28" s="16">
        <v>5.8027130951754797</v>
      </c>
      <c r="BE28" s="16">
        <v>265.01</v>
      </c>
      <c r="BF28" s="16">
        <v>16.120153475939599</v>
      </c>
      <c r="BG28" s="16">
        <v>4.7904468453059401E-2</v>
      </c>
      <c r="BH28" s="16">
        <v>2053.53666666667</v>
      </c>
      <c r="BI28" s="16">
        <v>4.09192415977446</v>
      </c>
      <c r="BJ28" s="16">
        <v>0.68278391287096996</v>
      </c>
      <c r="BK28" s="16">
        <v>76355.72</v>
      </c>
      <c r="BL28" s="16">
        <v>1.0735114344337799</v>
      </c>
      <c r="BM28" s="16">
        <v>8020.7266666666701</v>
      </c>
      <c r="BN28" s="16">
        <v>16.966083681452499</v>
      </c>
      <c r="BO28" s="16">
        <v>313620.68</v>
      </c>
      <c r="BP28" s="16">
        <v>0.43336747224024402</v>
      </c>
      <c r="BQ28" s="16">
        <v>34793.643333333297</v>
      </c>
      <c r="BR28" s="16">
        <v>12.8807040517797</v>
      </c>
      <c r="BS28" s="16">
        <v>84541.176666666695</v>
      </c>
      <c r="BT28" s="16">
        <v>0.90171769386121903</v>
      </c>
      <c r="BU28" s="16">
        <v>77777.013333333307</v>
      </c>
      <c r="BV28" s="16">
        <v>13.7255031288653</v>
      </c>
    </row>
    <row r="29" spans="1:74" x14ac:dyDescent="0.35">
      <c r="A29" s="4"/>
      <c r="B29" s="4" t="b">
        <v>0</v>
      </c>
      <c r="C29" s="4" t="s">
        <v>73</v>
      </c>
      <c r="D29" s="1">
        <v>46141.664849537003</v>
      </c>
      <c r="E29" s="6" t="s">
        <v>21</v>
      </c>
      <c r="F29" s="7"/>
      <c r="G29" s="4" t="s">
        <v>41</v>
      </c>
      <c r="H29" s="4"/>
      <c r="I29" s="5">
        <v>5</v>
      </c>
      <c r="J29" s="5">
        <v>100</v>
      </c>
      <c r="K29" s="5" t="s">
        <v>25</v>
      </c>
      <c r="L29" s="7">
        <v>19721.6733333333</v>
      </c>
      <c r="M29" s="7">
        <v>2.09972602722145</v>
      </c>
      <c r="N29" s="7" t="s">
        <v>25</v>
      </c>
      <c r="O29" s="5">
        <v>18.3333333333333</v>
      </c>
      <c r="P29" s="5">
        <v>68.634858502461398</v>
      </c>
      <c r="Q29" s="5" t="s">
        <v>25</v>
      </c>
      <c r="R29" s="7">
        <v>43.3333333333333</v>
      </c>
      <c r="S29" s="7">
        <v>24.0192230707631</v>
      </c>
      <c r="T29" s="7" t="s">
        <v>25</v>
      </c>
      <c r="U29" s="5">
        <v>3510.4966666666701</v>
      </c>
      <c r="V29" s="5">
        <v>12.867324635484501</v>
      </c>
      <c r="W29" s="5" t="s">
        <v>25</v>
      </c>
      <c r="X29" s="7">
        <v>1480.10666666667</v>
      </c>
      <c r="Y29" s="7">
        <v>3.5271028989913802</v>
      </c>
      <c r="Z29" s="7" t="s">
        <v>25</v>
      </c>
      <c r="AA29" s="5">
        <v>135</v>
      </c>
      <c r="AB29" s="5">
        <v>13.3538936128296</v>
      </c>
      <c r="AC29" s="5" t="s">
        <v>25</v>
      </c>
      <c r="AD29" s="7">
        <v>11106.1266666667</v>
      </c>
      <c r="AE29" s="7">
        <v>1.9383769834108799</v>
      </c>
      <c r="AF29" s="7" t="s">
        <v>25</v>
      </c>
      <c r="AG29" s="5">
        <v>7120.2233333333297</v>
      </c>
      <c r="AH29" s="5">
        <v>3.5589113578292699</v>
      </c>
      <c r="AI29" s="5" t="s">
        <v>25</v>
      </c>
      <c r="AJ29" s="7">
        <v>85</v>
      </c>
      <c r="AK29" s="7">
        <v>15.563243006262301</v>
      </c>
      <c r="AL29" s="7" t="s">
        <v>25</v>
      </c>
      <c r="AM29" s="5">
        <v>333.34333333333302</v>
      </c>
      <c r="AN29" s="5">
        <v>20.142632799499701</v>
      </c>
      <c r="AO29" s="5" t="s">
        <v>25</v>
      </c>
      <c r="AP29" s="7">
        <v>201.67333333333301</v>
      </c>
      <c r="AQ29" s="7">
        <v>18.608305509856301</v>
      </c>
      <c r="AR29" s="7" t="s">
        <v>25</v>
      </c>
      <c r="AS29" s="5">
        <v>148.333333333333</v>
      </c>
      <c r="AT29" s="5">
        <v>5.1489614550066696</v>
      </c>
      <c r="AU29" s="5" t="s">
        <v>25</v>
      </c>
      <c r="AV29" s="7">
        <v>56.6666666666667</v>
      </c>
      <c r="AW29" s="7">
        <v>53.912655234774597</v>
      </c>
      <c r="AX29" s="7" t="s">
        <v>25</v>
      </c>
      <c r="AY29" s="5">
        <v>3.3333333333333299</v>
      </c>
      <c r="AZ29" s="5">
        <v>173.20508075688801</v>
      </c>
      <c r="BA29" s="5">
        <v>2.6232490658666301E-3</v>
      </c>
      <c r="BB29" s="7">
        <v>3.3333333333333299</v>
      </c>
      <c r="BC29" s="7">
        <v>173.20508075688801</v>
      </c>
      <c r="BD29" s="7" t="s">
        <v>25</v>
      </c>
      <c r="BE29" s="5">
        <v>555.02</v>
      </c>
      <c r="BF29" s="5">
        <v>1.80173687434739</v>
      </c>
      <c r="BG29" s="5" t="s">
        <v>25</v>
      </c>
      <c r="BH29" s="7">
        <v>285.01</v>
      </c>
      <c r="BI29" s="7">
        <v>16.078648801641499</v>
      </c>
      <c r="BJ29" s="7" t="s">
        <v>25</v>
      </c>
      <c r="BK29" s="5">
        <v>369541.59666666703</v>
      </c>
      <c r="BL29" s="5">
        <v>2.2825973366530201</v>
      </c>
      <c r="BM29" s="7">
        <v>41833.726666666698</v>
      </c>
      <c r="BN29" s="7">
        <v>3.7378629607347502</v>
      </c>
      <c r="BO29" s="5">
        <v>1535445.86333333</v>
      </c>
      <c r="BP29" s="5">
        <v>1.8535271803357201</v>
      </c>
      <c r="BQ29" s="7">
        <v>186858.76</v>
      </c>
      <c r="BR29" s="7">
        <v>3.5583774680221598</v>
      </c>
      <c r="BS29" s="5">
        <v>434201.42666666699</v>
      </c>
      <c r="BT29" s="5">
        <v>2.75842106017102</v>
      </c>
      <c r="BU29" s="7">
        <v>462015.813333333</v>
      </c>
      <c r="BV29" s="7">
        <v>2.84757519776046</v>
      </c>
    </row>
    <row r="30" spans="1:74" x14ac:dyDescent="0.35">
      <c r="A30" s="4"/>
      <c r="B30" s="4" t="b">
        <v>0</v>
      </c>
      <c r="C30" s="4" t="s">
        <v>80</v>
      </c>
      <c r="D30" s="1">
        <v>46141.667824074102</v>
      </c>
      <c r="E30" s="6" t="s">
        <v>21</v>
      </c>
      <c r="F30" s="7"/>
      <c r="G30" s="4" t="s">
        <v>7</v>
      </c>
      <c r="H30" s="4"/>
      <c r="I30" s="5">
        <v>10</v>
      </c>
      <c r="J30" s="5">
        <v>50</v>
      </c>
      <c r="K30" s="5">
        <v>0.18033779879298101</v>
      </c>
      <c r="L30" s="7">
        <v>19843.553333333301</v>
      </c>
      <c r="M30" s="7">
        <v>1.09186254593108</v>
      </c>
      <c r="N30" s="7" t="s">
        <v>25</v>
      </c>
      <c r="O30" s="5">
        <v>16.6666666666667</v>
      </c>
      <c r="P30" s="5">
        <v>17.320508075688799</v>
      </c>
      <c r="Q30" s="5" t="s">
        <v>25</v>
      </c>
      <c r="R30" s="7">
        <v>43.3333333333333</v>
      </c>
      <c r="S30" s="7">
        <v>24.0192230707631</v>
      </c>
      <c r="T30" s="7" t="s">
        <v>25</v>
      </c>
      <c r="U30" s="5">
        <v>3562.17333333333</v>
      </c>
      <c r="V30" s="5">
        <v>13.956929264256299</v>
      </c>
      <c r="W30" s="5" t="s">
        <v>25</v>
      </c>
      <c r="X30" s="7">
        <v>1508.44333333333</v>
      </c>
      <c r="Y30" s="7">
        <v>7.1586194844238102</v>
      </c>
      <c r="Z30" s="7" t="s">
        <v>25</v>
      </c>
      <c r="AA30" s="5">
        <v>151.66999999999999</v>
      </c>
      <c r="AB30" s="5">
        <v>41.222212581603799</v>
      </c>
      <c r="AC30" s="5" t="s">
        <v>25</v>
      </c>
      <c r="AD30" s="7">
        <v>10867.596666666699</v>
      </c>
      <c r="AE30" s="7">
        <v>3.2031192334333598</v>
      </c>
      <c r="AF30" s="7" t="s">
        <v>25</v>
      </c>
      <c r="AG30" s="5">
        <v>7380.3533333333298</v>
      </c>
      <c r="AH30" s="5">
        <v>1.8936415192071401</v>
      </c>
      <c r="AI30" s="5" t="s">
        <v>25</v>
      </c>
      <c r="AJ30" s="7">
        <v>90</v>
      </c>
      <c r="AK30" s="7">
        <v>0</v>
      </c>
      <c r="AL30" s="7" t="s">
        <v>25</v>
      </c>
      <c r="AM30" s="5">
        <v>330.01</v>
      </c>
      <c r="AN30" s="5">
        <v>6.0604224114422998</v>
      </c>
      <c r="AO30" s="5" t="s">
        <v>25</v>
      </c>
      <c r="AP30" s="7">
        <v>218.33666666666701</v>
      </c>
      <c r="AQ30" s="7">
        <v>10.5798923391751</v>
      </c>
      <c r="AR30" s="7" t="s">
        <v>25</v>
      </c>
      <c r="AS30" s="5">
        <v>596.69333333333304</v>
      </c>
      <c r="AT30" s="5">
        <v>39.805936291542103</v>
      </c>
      <c r="AU30" s="5" t="s">
        <v>25</v>
      </c>
      <c r="AV30" s="7">
        <v>63.3333333333333</v>
      </c>
      <c r="AW30" s="7">
        <v>59.777982587371298</v>
      </c>
      <c r="AX30" s="7" t="s">
        <v>25</v>
      </c>
      <c r="AY30" s="5">
        <v>0</v>
      </c>
      <c r="AZ30" s="5" t="s">
        <v>27</v>
      </c>
      <c r="BA30" s="5">
        <v>0</v>
      </c>
      <c r="BB30" s="7">
        <v>3.3333333333333299</v>
      </c>
      <c r="BC30" s="7">
        <v>86.602540378443905</v>
      </c>
      <c r="BD30" s="7" t="s">
        <v>25</v>
      </c>
      <c r="BE30" s="5">
        <v>608.35666666666702</v>
      </c>
      <c r="BF30" s="5">
        <v>6.2781569395105903</v>
      </c>
      <c r="BG30" s="5" t="s">
        <v>25</v>
      </c>
      <c r="BH30" s="7">
        <v>333.34333333333302</v>
      </c>
      <c r="BI30" s="7">
        <v>10.5353376927219</v>
      </c>
      <c r="BJ30" s="7" t="s">
        <v>25</v>
      </c>
      <c r="BK30" s="5">
        <v>374663.65</v>
      </c>
      <c r="BL30" s="5">
        <v>3.2667087177779699</v>
      </c>
      <c r="BM30" s="7">
        <v>39103.036666666703</v>
      </c>
      <c r="BN30" s="7">
        <v>3.7401288722950001</v>
      </c>
      <c r="BO30" s="5">
        <v>1547529.66666667</v>
      </c>
      <c r="BP30" s="5">
        <v>3.2597213581060198</v>
      </c>
      <c r="BQ30" s="7">
        <v>177188.61666666699</v>
      </c>
      <c r="BR30" s="7">
        <v>5.1289721512049997</v>
      </c>
      <c r="BS30" s="5">
        <v>439791.03666666697</v>
      </c>
      <c r="BT30" s="5">
        <v>3.2171024062797899</v>
      </c>
      <c r="BU30" s="7">
        <v>439402.76666666701</v>
      </c>
      <c r="BV30" s="7">
        <v>5.0732094350562003</v>
      </c>
    </row>
    <row r="31" spans="1:74" x14ac:dyDescent="0.35">
      <c r="A31" s="4"/>
      <c r="B31" s="4" t="b">
        <v>0</v>
      </c>
      <c r="C31" s="4" t="s">
        <v>112</v>
      </c>
      <c r="D31" s="1">
        <v>46141.670740740701</v>
      </c>
      <c r="E31" s="6" t="s">
        <v>21</v>
      </c>
      <c r="F31" s="7"/>
      <c r="G31" s="4" t="s">
        <v>12</v>
      </c>
      <c r="H31" s="4"/>
      <c r="I31" s="5">
        <v>3.3333333333333299</v>
      </c>
      <c r="J31" s="5">
        <v>173.20508075688801</v>
      </c>
      <c r="K31" s="5" t="s">
        <v>25</v>
      </c>
      <c r="L31" s="7">
        <v>19441.313333333299</v>
      </c>
      <c r="M31" s="7">
        <v>1.66440166325864</v>
      </c>
      <c r="N31" s="7" t="s">
        <v>25</v>
      </c>
      <c r="O31" s="5">
        <v>21.6666666666667</v>
      </c>
      <c r="P31" s="5">
        <v>13.3234677505299</v>
      </c>
      <c r="Q31" s="5" t="s">
        <v>25</v>
      </c>
      <c r="R31" s="7">
        <v>48.3333333333333</v>
      </c>
      <c r="S31" s="7">
        <v>21.534475856546202</v>
      </c>
      <c r="T31" s="7" t="s">
        <v>25</v>
      </c>
      <c r="U31" s="5">
        <v>3410.46333333333</v>
      </c>
      <c r="V31" s="5">
        <v>14.8200322000624</v>
      </c>
      <c r="W31" s="5" t="s">
        <v>25</v>
      </c>
      <c r="X31" s="7">
        <v>1490.1033333333301</v>
      </c>
      <c r="Y31" s="7">
        <v>2.0958677032358399</v>
      </c>
      <c r="Z31" s="7" t="s">
        <v>25</v>
      </c>
      <c r="AA31" s="5">
        <v>170</v>
      </c>
      <c r="AB31" s="5">
        <v>10.6045625748941</v>
      </c>
      <c r="AC31" s="5" t="s">
        <v>25</v>
      </c>
      <c r="AD31" s="7">
        <v>10210.459999999999</v>
      </c>
      <c r="AE31" s="7">
        <v>5.3627972182293204</v>
      </c>
      <c r="AF31" s="7" t="s">
        <v>25</v>
      </c>
      <c r="AG31" s="5">
        <v>7408.6766666666699</v>
      </c>
      <c r="AH31" s="5">
        <v>4.0837132088722798</v>
      </c>
      <c r="AI31" s="5" t="s">
        <v>25</v>
      </c>
      <c r="AJ31" s="7">
        <v>88.3333333333333</v>
      </c>
      <c r="AK31" s="7">
        <v>34.119134566085201</v>
      </c>
      <c r="AL31" s="7" t="s">
        <v>25</v>
      </c>
      <c r="AM31" s="5">
        <v>341.67666666666702</v>
      </c>
      <c r="AN31" s="5">
        <v>3.0462513284486898</v>
      </c>
      <c r="AO31" s="5" t="s">
        <v>25</v>
      </c>
      <c r="AP31" s="7">
        <v>210.006666666667</v>
      </c>
      <c r="AQ31" s="7">
        <v>17.170727863395701</v>
      </c>
      <c r="AR31" s="7" t="s">
        <v>25</v>
      </c>
      <c r="AS31" s="5">
        <v>465.01666666666699</v>
      </c>
      <c r="AT31" s="5">
        <v>67.082478838647503</v>
      </c>
      <c r="AU31" s="5" t="s">
        <v>25</v>
      </c>
      <c r="AV31" s="7">
        <v>63.3333333333333</v>
      </c>
      <c r="AW31" s="7">
        <v>71.198680307729902</v>
      </c>
      <c r="AX31" s="7" t="s">
        <v>25</v>
      </c>
      <c r="AY31" s="5">
        <v>0</v>
      </c>
      <c r="AZ31" s="5" t="s">
        <v>27</v>
      </c>
      <c r="BA31" s="5">
        <v>0</v>
      </c>
      <c r="BB31" s="7">
        <v>5</v>
      </c>
      <c r="BC31" s="7">
        <v>0</v>
      </c>
      <c r="BD31" s="7" t="s">
        <v>25</v>
      </c>
      <c r="BE31" s="5">
        <v>583.35666666666702</v>
      </c>
      <c r="BF31" s="5">
        <v>18.489800762762901</v>
      </c>
      <c r="BG31" s="5" t="s">
        <v>25</v>
      </c>
      <c r="BH31" s="7">
        <v>286.67666666666702</v>
      </c>
      <c r="BI31" s="7">
        <v>12.250332840543701</v>
      </c>
      <c r="BJ31" s="7" t="s">
        <v>25</v>
      </c>
      <c r="BK31" s="5">
        <v>328179.23333333299</v>
      </c>
      <c r="BL31" s="5">
        <v>6.5026184921458396</v>
      </c>
      <c r="BM31" s="7">
        <v>43809.913333333301</v>
      </c>
      <c r="BN31" s="7">
        <v>6.5033647568844497</v>
      </c>
      <c r="BO31" s="5">
        <v>1356923.7833333299</v>
      </c>
      <c r="BP31" s="5">
        <v>6.2530063968555503</v>
      </c>
      <c r="BQ31" s="7">
        <v>193692.64666666699</v>
      </c>
      <c r="BR31" s="7">
        <v>6.1308890921873296</v>
      </c>
      <c r="BS31" s="5">
        <v>385624.89</v>
      </c>
      <c r="BT31" s="5">
        <v>6.9220539448573497</v>
      </c>
      <c r="BU31" s="7">
        <v>480855.006666667</v>
      </c>
      <c r="BV31" s="7">
        <v>5.7856680815023704</v>
      </c>
    </row>
    <row r="32" spans="1:74" x14ac:dyDescent="0.35">
      <c r="A32" s="4"/>
      <c r="B32" s="4" t="b">
        <v>0</v>
      </c>
      <c r="C32" s="4" t="s">
        <v>4</v>
      </c>
      <c r="D32" s="1">
        <v>46141.673726851899</v>
      </c>
      <c r="E32" s="6" t="s">
        <v>21</v>
      </c>
      <c r="F32" s="7"/>
      <c r="G32" s="4" t="s">
        <v>100</v>
      </c>
      <c r="H32" s="4"/>
      <c r="I32" s="5">
        <v>6.6666666666666696</v>
      </c>
      <c r="J32" s="5">
        <v>114.564392373896</v>
      </c>
      <c r="K32" s="5" t="s">
        <v>25</v>
      </c>
      <c r="L32" s="7">
        <v>19663.266666666699</v>
      </c>
      <c r="M32" s="7">
        <v>1.8839697939246201</v>
      </c>
      <c r="N32" s="7" t="s">
        <v>25</v>
      </c>
      <c r="O32" s="5">
        <v>25</v>
      </c>
      <c r="P32" s="5">
        <v>34.641016151377499</v>
      </c>
      <c r="Q32" s="5" t="s">
        <v>25</v>
      </c>
      <c r="R32" s="7">
        <v>33.3333333333333</v>
      </c>
      <c r="S32" s="7">
        <v>17.320508075688799</v>
      </c>
      <c r="T32" s="7" t="s">
        <v>25</v>
      </c>
      <c r="U32" s="5">
        <v>3553.8233333333301</v>
      </c>
      <c r="V32" s="5">
        <v>8.0024746547425192</v>
      </c>
      <c r="W32" s="5" t="s">
        <v>25</v>
      </c>
      <c r="X32" s="7">
        <v>1525.10666666667</v>
      </c>
      <c r="Y32" s="7">
        <v>10.507367200358701</v>
      </c>
      <c r="Z32" s="7" t="s">
        <v>25</v>
      </c>
      <c r="AA32" s="5">
        <v>186.67</v>
      </c>
      <c r="AB32" s="5">
        <v>23.095750166308701</v>
      </c>
      <c r="AC32" s="5" t="s">
        <v>25</v>
      </c>
      <c r="AD32" s="7">
        <v>11327.983333333301</v>
      </c>
      <c r="AE32" s="7">
        <v>2.8824452239445502</v>
      </c>
      <c r="AF32" s="7" t="s">
        <v>25</v>
      </c>
      <c r="AG32" s="5">
        <v>7717.1766666666699</v>
      </c>
      <c r="AH32" s="5">
        <v>7.8117392384404196</v>
      </c>
      <c r="AI32" s="5" t="s">
        <v>25</v>
      </c>
      <c r="AJ32" s="7">
        <v>266.67666666666702</v>
      </c>
      <c r="AK32" s="7">
        <v>31.223819098775799</v>
      </c>
      <c r="AL32" s="7" t="s">
        <v>25</v>
      </c>
      <c r="AM32" s="5">
        <v>405.01333333333298</v>
      </c>
      <c r="AN32" s="5">
        <v>9.3217845607103307</v>
      </c>
      <c r="AO32" s="5" t="s">
        <v>25</v>
      </c>
      <c r="AP32" s="7">
        <v>408.34666666666698</v>
      </c>
      <c r="AQ32" s="7">
        <v>25.811855181079299</v>
      </c>
      <c r="AR32" s="7" t="s">
        <v>25</v>
      </c>
      <c r="AS32" s="5">
        <v>770.04</v>
      </c>
      <c r="AT32" s="5">
        <v>45.157795478407998</v>
      </c>
      <c r="AU32" s="5" t="s">
        <v>25</v>
      </c>
      <c r="AV32" s="7">
        <v>100.003333333333</v>
      </c>
      <c r="AW32" s="7">
        <v>55.680277869867503</v>
      </c>
      <c r="AX32" s="7" t="s">
        <v>25</v>
      </c>
      <c r="AY32" s="5">
        <v>23.3333333333333</v>
      </c>
      <c r="AZ32" s="5">
        <v>44.607128559988602</v>
      </c>
      <c r="BA32" s="5">
        <v>1.81940718858081E-2</v>
      </c>
      <c r="BB32" s="7">
        <v>15</v>
      </c>
      <c r="BC32" s="7">
        <v>100</v>
      </c>
      <c r="BD32" s="7" t="s">
        <v>25</v>
      </c>
      <c r="BE32" s="5">
        <v>648.35666666666702</v>
      </c>
      <c r="BF32" s="5">
        <v>10.4140777778308</v>
      </c>
      <c r="BG32" s="5" t="s">
        <v>25</v>
      </c>
      <c r="BH32" s="7">
        <v>566.69000000000005</v>
      </c>
      <c r="BI32" s="7">
        <v>19.438591718739399</v>
      </c>
      <c r="BJ32" s="7" t="s">
        <v>25</v>
      </c>
      <c r="BK32" s="5">
        <v>362142.183333333</v>
      </c>
      <c r="BL32" s="5">
        <v>1.0569160313499799</v>
      </c>
      <c r="BM32" s="7">
        <v>43427.12</v>
      </c>
      <c r="BN32" s="7">
        <v>7.6842886309224996</v>
      </c>
      <c r="BO32" s="5">
        <v>1491894.82333333</v>
      </c>
      <c r="BP32" s="5">
        <v>1.2417337338282199</v>
      </c>
      <c r="BQ32" s="7">
        <v>194016.186666667</v>
      </c>
      <c r="BR32" s="7">
        <v>7.6972061872420801</v>
      </c>
      <c r="BS32" s="5">
        <v>426328.22333333298</v>
      </c>
      <c r="BT32" s="5">
        <v>0.363083533329565</v>
      </c>
      <c r="BU32" s="7">
        <v>481131.95666666701</v>
      </c>
      <c r="BV32" s="7">
        <v>7.7268783836799502</v>
      </c>
    </row>
    <row r="33" spans="1:74" x14ac:dyDescent="0.35">
      <c r="A33" s="4"/>
      <c r="B33" s="4" t="b">
        <v>0</v>
      </c>
      <c r="C33" s="4" t="s">
        <v>29</v>
      </c>
      <c r="D33" s="1">
        <v>46141.676643518498</v>
      </c>
      <c r="E33" s="6" t="s">
        <v>21</v>
      </c>
      <c r="F33" s="7"/>
      <c r="G33" s="4" t="s">
        <v>30</v>
      </c>
      <c r="H33" s="4"/>
      <c r="I33" s="5">
        <v>3.3333333333333299</v>
      </c>
      <c r="J33" s="5">
        <v>86.602540378443905</v>
      </c>
      <c r="K33" s="5" t="s">
        <v>25</v>
      </c>
      <c r="L33" s="7">
        <v>18583.5333333333</v>
      </c>
      <c r="M33" s="7">
        <v>1.8753809024518</v>
      </c>
      <c r="N33" s="7" t="s">
        <v>25</v>
      </c>
      <c r="O33" s="5">
        <v>20</v>
      </c>
      <c r="P33" s="5">
        <v>50</v>
      </c>
      <c r="Q33" s="5" t="s">
        <v>25</v>
      </c>
      <c r="R33" s="7">
        <v>53.3333333333333</v>
      </c>
      <c r="S33" s="7">
        <v>23.593232610221101</v>
      </c>
      <c r="T33" s="7" t="s">
        <v>25</v>
      </c>
      <c r="U33" s="5">
        <v>3510.4766666666701</v>
      </c>
      <c r="V33" s="5">
        <v>13.06283065963</v>
      </c>
      <c r="W33" s="5" t="s">
        <v>25</v>
      </c>
      <c r="X33" s="7">
        <v>1450.09666666667</v>
      </c>
      <c r="Y33" s="7">
        <v>5.9829311844997397</v>
      </c>
      <c r="Z33" s="7" t="s">
        <v>25</v>
      </c>
      <c r="AA33" s="5">
        <v>193.34</v>
      </c>
      <c r="AB33" s="5">
        <v>20.7452212437939</v>
      </c>
      <c r="AC33" s="5" t="s">
        <v>25</v>
      </c>
      <c r="AD33" s="7">
        <v>12437.2266666667</v>
      </c>
      <c r="AE33" s="7">
        <v>8.8999449517345095</v>
      </c>
      <c r="AF33" s="7" t="s">
        <v>25</v>
      </c>
      <c r="AG33" s="5">
        <v>7290.29</v>
      </c>
      <c r="AH33" s="5">
        <v>2.8592670611862001</v>
      </c>
      <c r="AI33" s="5" t="s">
        <v>25</v>
      </c>
      <c r="AJ33" s="7">
        <v>173.333333333333</v>
      </c>
      <c r="AK33" s="7">
        <v>15.887222732556101</v>
      </c>
      <c r="AL33" s="7" t="s">
        <v>25</v>
      </c>
      <c r="AM33" s="5">
        <v>333.34333333333302</v>
      </c>
      <c r="AN33" s="5">
        <v>20.693581279136499</v>
      </c>
      <c r="AO33" s="5" t="s">
        <v>25</v>
      </c>
      <c r="AP33" s="7">
        <v>310.01</v>
      </c>
      <c r="AQ33" s="7">
        <v>15.385619841568801</v>
      </c>
      <c r="AR33" s="7" t="s">
        <v>25</v>
      </c>
      <c r="AS33" s="5">
        <v>550.02</v>
      </c>
      <c r="AT33" s="5">
        <v>38.6981988300154</v>
      </c>
      <c r="AU33" s="5" t="s">
        <v>25</v>
      </c>
      <c r="AV33" s="7">
        <v>56.6666666666667</v>
      </c>
      <c r="AW33" s="7">
        <v>36.735282343519998</v>
      </c>
      <c r="AX33" s="7" t="s">
        <v>25</v>
      </c>
      <c r="AY33" s="5">
        <v>13.3333333333333</v>
      </c>
      <c r="AZ33" s="5">
        <v>141.972708645007</v>
      </c>
      <c r="BA33" s="5">
        <v>1.07975645857144E-2</v>
      </c>
      <c r="BB33" s="7">
        <v>15</v>
      </c>
      <c r="BC33" s="7">
        <v>0</v>
      </c>
      <c r="BD33" s="7" t="s">
        <v>25</v>
      </c>
      <c r="BE33" s="5">
        <v>621.69333333333304</v>
      </c>
      <c r="BF33" s="5">
        <v>12.877276140871199</v>
      </c>
      <c r="BG33" s="5" t="s">
        <v>25</v>
      </c>
      <c r="BH33" s="7">
        <v>456.683333333333</v>
      </c>
      <c r="BI33" s="7">
        <v>24.145910677793001</v>
      </c>
      <c r="BJ33" s="7" t="s">
        <v>25</v>
      </c>
      <c r="BK33" s="5">
        <v>367768.13333333301</v>
      </c>
      <c r="BL33" s="5">
        <v>8.5956783674550596</v>
      </c>
      <c r="BM33" s="7">
        <v>42769.8733333333</v>
      </c>
      <c r="BN33" s="7">
        <v>1.35652806768357</v>
      </c>
      <c r="BO33" s="5">
        <v>1524105.13333333</v>
      </c>
      <c r="BP33" s="5">
        <v>9.3105226865841306</v>
      </c>
      <c r="BQ33" s="7">
        <v>190197.95333333299</v>
      </c>
      <c r="BR33" s="7">
        <v>1.5549104412846</v>
      </c>
      <c r="BS33" s="5">
        <v>433432.85666666698</v>
      </c>
      <c r="BT33" s="5">
        <v>9.5537605688886806</v>
      </c>
      <c r="BU33" s="7">
        <v>475389.41</v>
      </c>
      <c r="BV33" s="7">
        <v>1.53996485413826</v>
      </c>
    </row>
  </sheetData>
  <mergeCells count="25">
    <mergeCell ref="BM1:BN1"/>
    <mergeCell ref="BO1:BP1"/>
    <mergeCell ref="BQ1:BR1"/>
    <mergeCell ref="BS1:BT1"/>
    <mergeCell ref="BU1:BV1"/>
    <mergeCell ref="AY1:BA1"/>
    <mergeCell ref="BB1:BD1"/>
    <mergeCell ref="BE1:BG1"/>
    <mergeCell ref="BH1:BJ1"/>
    <mergeCell ref="BK1:BL1"/>
    <mergeCell ref="AJ1:AL1"/>
    <mergeCell ref="AM1:AO1"/>
    <mergeCell ref="AP1:AR1"/>
    <mergeCell ref="AS1:AU1"/>
    <mergeCell ref="AV1:AX1"/>
    <mergeCell ref="U1:W1"/>
    <mergeCell ref="X1:Z1"/>
    <mergeCell ref="AA1:AC1"/>
    <mergeCell ref="AD1:AF1"/>
    <mergeCell ref="AG1:AI1"/>
    <mergeCell ref="A1:G1"/>
    <mergeCell ref="I1:K1"/>
    <mergeCell ref="L1:N1"/>
    <mergeCell ref="O1:Q1"/>
    <mergeCell ref="R1:T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589A-E350-49B9-B3D2-48725FA458BB}">
  <dimension ref="A1:Y25"/>
  <sheetViews>
    <sheetView topLeftCell="B7" zoomScale="115" zoomScaleNormal="115" workbookViewId="0">
      <selection activeCell="G39" sqref="G39"/>
    </sheetView>
  </sheetViews>
  <sheetFormatPr defaultRowHeight="14.5" x14ac:dyDescent="0.35"/>
  <cols>
    <col min="1" max="1" width="14.1796875" bestFit="1" customWidth="1"/>
    <col min="3" max="3" width="12.81640625" customWidth="1"/>
    <col min="4" max="4" width="23.6328125" bestFit="1" customWidth="1"/>
    <col min="5" max="5" width="18.90625" bestFit="1" customWidth="1"/>
    <col min="6" max="7" width="15.1796875" customWidth="1"/>
    <col min="8" max="8" width="12.1796875" customWidth="1"/>
    <col min="9" max="9" width="12.453125" customWidth="1"/>
    <col min="10" max="10" width="11.453125" customWidth="1"/>
    <col min="11" max="11" width="12.08984375" customWidth="1"/>
    <col min="12" max="12" width="10.81640625" customWidth="1"/>
    <col min="13" max="13" width="12.6328125" customWidth="1"/>
    <col min="14" max="14" width="12.7265625" customWidth="1"/>
    <col min="15" max="16" width="11.453125" bestFit="1" customWidth="1"/>
    <col min="17" max="17" width="13.1796875" customWidth="1"/>
    <col min="18" max="18" width="12.453125" customWidth="1"/>
    <col min="19" max="19" width="12.36328125" customWidth="1"/>
    <col min="20" max="20" width="12.453125" customWidth="1"/>
    <col min="21" max="21" width="11.453125" bestFit="1" customWidth="1"/>
    <col min="22" max="22" width="13.26953125" customWidth="1"/>
    <col min="23" max="23" width="13.7265625" customWidth="1"/>
    <col min="24" max="24" width="12.36328125" customWidth="1"/>
    <col min="25" max="25" width="14.54296875" customWidth="1"/>
  </cols>
  <sheetData>
    <row r="1" spans="1:25" x14ac:dyDescent="0.35">
      <c r="A1" s="28"/>
      <c r="B1" s="28"/>
      <c r="C1" s="29"/>
      <c r="D1" s="2"/>
      <c r="E1" s="2"/>
      <c r="F1" s="2"/>
      <c r="G1" s="2"/>
      <c r="H1" s="45" t="s">
        <v>24</v>
      </c>
      <c r="I1" s="45" t="s">
        <v>101</v>
      </c>
      <c r="J1" s="45" t="s">
        <v>6</v>
      </c>
      <c r="K1" s="45" t="s">
        <v>63</v>
      </c>
      <c r="L1" s="45" t="s">
        <v>46</v>
      </c>
      <c r="M1" s="45" t="s">
        <v>82</v>
      </c>
      <c r="N1" s="45" t="s">
        <v>14</v>
      </c>
      <c r="O1" s="25" t="s">
        <v>75</v>
      </c>
      <c r="P1" s="25" t="s">
        <v>9</v>
      </c>
      <c r="Q1" s="45" t="s">
        <v>61</v>
      </c>
      <c r="R1" s="45" t="s">
        <v>45</v>
      </c>
      <c r="S1" s="25" t="s">
        <v>65</v>
      </c>
      <c r="T1" s="45" t="s">
        <v>64</v>
      </c>
      <c r="U1" s="25" t="s">
        <v>15</v>
      </c>
      <c r="V1" s="45" t="s">
        <v>78</v>
      </c>
      <c r="W1" s="45" t="s">
        <v>26</v>
      </c>
      <c r="X1" s="45" t="s">
        <v>57</v>
      </c>
      <c r="Y1" s="45" t="s">
        <v>110</v>
      </c>
    </row>
    <row r="2" spans="1:25" x14ac:dyDescent="0.35">
      <c r="A2" s="8" t="s">
        <v>60</v>
      </c>
      <c r="B2" s="8" t="s">
        <v>55</v>
      </c>
      <c r="C2" s="8" t="s">
        <v>95</v>
      </c>
      <c r="D2" s="8"/>
      <c r="E2" s="8" t="s">
        <v>118</v>
      </c>
      <c r="F2" s="8" t="s">
        <v>138</v>
      </c>
      <c r="G2" s="8" t="s">
        <v>166</v>
      </c>
      <c r="H2" s="8" t="s">
        <v>43</v>
      </c>
      <c r="I2" s="8" t="s">
        <v>43</v>
      </c>
      <c r="J2" s="8" t="s">
        <v>43</v>
      </c>
      <c r="K2" s="8" t="s">
        <v>43</v>
      </c>
      <c r="L2" s="8" t="s">
        <v>43</v>
      </c>
      <c r="M2" s="8" t="s">
        <v>43</v>
      </c>
      <c r="N2" s="8" t="s">
        <v>43</v>
      </c>
      <c r="O2" s="8" t="s">
        <v>43</v>
      </c>
      <c r="P2" s="8" t="s">
        <v>43</v>
      </c>
      <c r="Q2" s="8" t="s">
        <v>43</v>
      </c>
      <c r="R2" s="8" t="s">
        <v>43</v>
      </c>
      <c r="S2" s="8" t="s">
        <v>43</v>
      </c>
      <c r="T2" s="8" t="s">
        <v>43</v>
      </c>
      <c r="U2" s="8" t="s">
        <v>43</v>
      </c>
      <c r="V2" s="8" t="s">
        <v>43</v>
      </c>
      <c r="W2" s="8" t="s">
        <v>43</v>
      </c>
      <c r="X2" s="8" t="s">
        <v>43</v>
      </c>
      <c r="Y2" s="8" t="s">
        <v>43</v>
      </c>
    </row>
    <row r="3" spans="1:25" x14ac:dyDescent="0.35">
      <c r="A3" s="1">
        <v>46141.608946759297</v>
      </c>
      <c r="B3" s="6" t="s">
        <v>21</v>
      </c>
      <c r="C3" s="4" t="s">
        <v>18</v>
      </c>
      <c r="D3" s="33" t="s">
        <v>145</v>
      </c>
      <c r="E3" s="17" t="s">
        <v>155</v>
      </c>
      <c r="F3" s="9" t="s">
        <v>157</v>
      </c>
      <c r="G3" s="9">
        <f>SUM(H3,I3,J3,K3,L3,M3,N3,O3,P3,Q3,R3,S3,T3,U3,V3,W3,X3,Y3)</f>
        <v>192.58338344204381</v>
      </c>
      <c r="H3" s="10">
        <v>12.6647943172695</v>
      </c>
      <c r="I3" s="10">
        <v>108.40829421446099</v>
      </c>
      <c r="J3" s="10">
        <v>4.0678820568954803</v>
      </c>
      <c r="K3" s="10">
        <v>17.914404716479201</v>
      </c>
      <c r="L3" s="10">
        <v>13.1832358887072</v>
      </c>
      <c r="M3" s="10" t="s">
        <v>25</v>
      </c>
      <c r="N3" s="10">
        <v>0.18080743149321599</v>
      </c>
      <c r="O3" s="10">
        <v>7.1701929258008903</v>
      </c>
      <c r="P3" s="10">
        <v>5.4304100937753201</v>
      </c>
      <c r="Q3" s="10">
        <v>6.9129611126959598E-3</v>
      </c>
      <c r="R3" s="10" t="s">
        <v>25</v>
      </c>
      <c r="S3" s="10">
        <v>3.6492004859321101</v>
      </c>
      <c r="T3" s="10">
        <v>14.340734535503699</v>
      </c>
      <c r="U3" s="10">
        <v>0.81628349270710299</v>
      </c>
      <c r="V3" s="10">
        <v>3.47815324171638E-2</v>
      </c>
      <c r="W3" s="10">
        <v>4.0767430800022098</v>
      </c>
      <c r="X3" s="10">
        <v>5.5020239047104402E-2</v>
      </c>
      <c r="Y3" s="10">
        <v>0.58368547043992902</v>
      </c>
    </row>
    <row r="4" spans="1:25" x14ac:dyDescent="0.35">
      <c r="A4" s="1">
        <v>46141.605972222198</v>
      </c>
      <c r="B4" s="6" t="s">
        <v>21</v>
      </c>
      <c r="C4" s="4" t="s">
        <v>76</v>
      </c>
      <c r="D4" s="34"/>
      <c r="E4" s="17" t="s">
        <v>156</v>
      </c>
      <c r="F4" s="9" t="s">
        <v>70</v>
      </c>
      <c r="G4" s="9">
        <f>SUM(H4,I4,J4,K4,L4,M4,N4,O4,P4,Q4,R4,S4,T4,U4,V4,W4,X4,Y4)</f>
        <v>2657.5835468723094</v>
      </c>
      <c r="H4" s="10">
        <v>14.9969449895948</v>
      </c>
      <c r="I4" s="10">
        <v>120.68744543646</v>
      </c>
      <c r="J4" s="10">
        <v>2.95926090574208</v>
      </c>
      <c r="K4" s="10">
        <v>22.769957131054198</v>
      </c>
      <c r="L4" s="10">
        <v>33.385968186249897</v>
      </c>
      <c r="M4" s="10" t="s">
        <v>25</v>
      </c>
      <c r="N4" s="10">
        <v>3.45793063785512</v>
      </c>
      <c r="O4" s="10">
        <v>1074.52434831097</v>
      </c>
      <c r="P4" s="10">
        <v>1232.92698779589</v>
      </c>
      <c r="Q4" s="10">
        <v>0.69051299952815504</v>
      </c>
      <c r="R4" s="10" t="s">
        <v>25</v>
      </c>
      <c r="S4" s="10">
        <v>118.40802957552501</v>
      </c>
      <c r="T4" s="10">
        <v>24.2241532731585</v>
      </c>
      <c r="U4" s="10">
        <v>5.6608927552473203</v>
      </c>
      <c r="V4" s="10">
        <v>2.46908283389774E-2</v>
      </c>
      <c r="W4" s="10">
        <v>1.5917495412484499</v>
      </c>
      <c r="X4" s="10">
        <v>8.7543002721908597E-2</v>
      </c>
      <c r="Y4" s="10">
        <v>1.1871315027245799</v>
      </c>
    </row>
    <row r="5" spans="1:25" x14ac:dyDescent="0.35">
      <c r="A5" s="1">
        <v>46141.614826388897</v>
      </c>
      <c r="B5" s="6" t="s">
        <v>21</v>
      </c>
      <c r="C5" s="4" t="s">
        <v>103</v>
      </c>
      <c r="D5" s="34"/>
      <c r="E5" s="17" t="s">
        <v>156</v>
      </c>
      <c r="F5" s="9" t="s">
        <v>42</v>
      </c>
      <c r="G5" s="9">
        <f>SUM(H5,I5,J5,K5,L5,M5,N5,O5,P5,Q5,R5,S5,T5,U5,V5,W5,X5,Y5)</f>
        <v>3130.3391721682747</v>
      </c>
      <c r="H5" s="10">
        <v>7.5506362355382297</v>
      </c>
      <c r="I5" s="10">
        <v>104.849150237207</v>
      </c>
      <c r="J5" s="10">
        <v>2.43698364116932</v>
      </c>
      <c r="K5" s="10">
        <v>28.8732029703196</v>
      </c>
      <c r="L5" s="10">
        <v>32.108663673584203</v>
      </c>
      <c r="M5" s="10" t="s">
        <v>25</v>
      </c>
      <c r="N5" s="10">
        <v>4.2068213978151103</v>
      </c>
      <c r="O5" s="10">
        <v>1449.6599950790501</v>
      </c>
      <c r="P5" s="10">
        <v>1370.9088623764701</v>
      </c>
      <c r="Q5" s="10">
        <v>9.49690278453693E-2</v>
      </c>
      <c r="R5" s="10">
        <v>1.28103387442725</v>
      </c>
      <c r="S5" s="10">
        <v>99.219080002477597</v>
      </c>
      <c r="T5" s="10">
        <v>23.158265447475799</v>
      </c>
      <c r="U5" s="10">
        <v>1.3089589635430501</v>
      </c>
      <c r="V5" s="10">
        <v>3.8487783880237998E-2</v>
      </c>
      <c r="W5" s="10">
        <v>3.69031950670679</v>
      </c>
      <c r="X5" s="10">
        <v>2.1363691689529E-2</v>
      </c>
      <c r="Y5" s="10">
        <v>0.932378259076038</v>
      </c>
    </row>
    <row r="6" spans="1:25" x14ac:dyDescent="0.35">
      <c r="A6" s="1">
        <v>46141.611863425896</v>
      </c>
      <c r="B6" s="6" t="s">
        <v>21</v>
      </c>
      <c r="C6" s="4" t="s">
        <v>52</v>
      </c>
      <c r="D6" s="35"/>
      <c r="E6" s="17" t="s">
        <v>156</v>
      </c>
      <c r="F6" s="9" t="s">
        <v>158</v>
      </c>
      <c r="G6" s="9">
        <f>SUM(H6,I6,J6,K6,L6,M6,N6,O6,P6,Q6,R6,S6,T6,U6,V6,W6,X6,Y6)</f>
        <v>5870.6648493225584</v>
      </c>
      <c r="H6" s="10">
        <v>7.8113109038868096</v>
      </c>
      <c r="I6" s="10">
        <v>102.190324232916</v>
      </c>
      <c r="J6" s="10">
        <v>3.6321476147191798</v>
      </c>
      <c r="K6" s="10">
        <v>34.759723670417202</v>
      </c>
      <c r="L6" s="10">
        <v>30.475200609370098</v>
      </c>
      <c r="M6" s="10" t="s">
        <v>25</v>
      </c>
      <c r="N6" s="10">
        <v>7.3754508564472001</v>
      </c>
      <c r="O6" s="10">
        <v>2735.3211409364599</v>
      </c>
      <c r="P6" s="10">
        <v>2739.51575538829</v>
      </c>
      <c r="Q6" s="10">
        <v>7.5633869319128397E-2</v>
      </c>
      <c r="R6" s="10" t="s">
        <v>25</v>
      </c>
      <c r="S6" s="10">
        <v>162.58404812875</v>
      </c>
      <c r="T6" s="10">
        <v>42.4375782378604</v>
      </c>
      <c r="U6" s="10">
        <v>1.49519574065228</v>
      </c>
      <c r="V6" s="10">
        <v>6.2379640656880099E-2</v>
      </c>
      <c r="W6" s="10">
        <v>1.2419949558368399</v>
      </c>
      <c r="X6" s="10">
        <v>4.8435609847120802E-2</v>
      </c>
      <c r="Y6" s="10">
        <v>1.6385289271305701</v>
      </c>
    </row>
    <row r="7" spans="1:25" x14ac:dyDescent="0.35">
      <c r="A7" s="1">
        <v>46141.629513888904</v>
      </c>
      <c r="B7" s="6" t="s">
        <v>21</v>
      </c>
      <c r="C7" s="4" t="s">
        <v>88</v>
      </c>
      <c r="D7" s="36" t="s">
        <v>164</v>
      </c>
      <c r="E7" s="18" t="s">
        <v>139</v>
      </c>
      <c r="F7" s="11" t="s">
        <v>152</v>
      </c>
      <c r="G7" s="11">
        <f>SUM(H7,I7,J7,K7,L7,M7,N7,O7,P7,Q7,R7,S7,T7,U7,V7,W7,X7,Y7)</f>
        <v>383.59514743224264</v>
      </c>
      <c r="H7" s="12">
        <v>6.4694544819459399</v>
      </c>
      <c r="I7" s="12">
        <v>80.902775422526005</v>
      </c>
      <c r="J7" s="12">
        <v>28.642598883787201</v>
      </c>
      <c r="K7" s="12">
        <v>18.252779888475601</v>
      </c>
      <c r="L7" s="12">
        <v>31.896935430891499</v>
      </c>
      <c r="M7" s="12">
        <v>11.6160190170527</v>
      </c>
      <c r="N7" s="12">
        <v>1.16428234400347</v>
      </c>
      <c r="O7" s="12">
        <v>62.547652036269298</v>
      </c>
      <c r="P7" s="12">
        <v>63.926654259694899</v>
      </c>
      <c r="Q7" s="12">
        <v>7.46650412032881E-3</v>
      </c>
      <c r="R7" s="12">
        <v>9.7452522685400194</v>
      </c>
      <c r="S7" s="12">
        <v>35.345132713868701</v>
      </c>
      <c r="T7" s="12">
        <v>16.680478452350702</v>
      </c>
      <c r="U7" s="12">
        <v>8.2720466408185506E-2</v>
      </c>
      <c r="V7" s="12">
        <v>7.1560202300918301E-3</v>
      </c>
      <c r="W7" s="12">
        <v>0.38211204849916097</v>
      </c>
      <c r="X7" s="12">
        <v>5.0995406514185E-2</v>
      </c>
      <c r="Y7" s="12">
        <v>15.8746817870647</v>
      </c>
    </row>
    <row r="8" spans="1:25" x14ac:dyDescent="0.35">
      <c r="A8" s="1">
        <v>46141.626597222203</v>
      </c>
      <c r="B8" s="6" t="s">
        <v>21</v>
      </c>
      <c r="C8" s="4" t="s">
        <v>56</v>
      </c>
      <c r="D8" s="37"/>
      <c r="E8" s="18" t="s">
        <v>139</v>
      </c>
      <c r="F8" s="11" t="s">
        <v>140</v>
      </c>
      <c r="G8" s="11">
        <f>SUM(H8,I8,J8,K8,L8,M8,N8,O8,P8,Q8,R8,S8,T8,U8,V8,W8,X8,Y8)</f>
        <v>344.16450579891733</v>
      </c>
      <c r="H8" s="12">
        <v>6.6153202918258804</v>
      </c>
      <c r="I8" s="12">
        <v>69.330556955867607</v>
      </c>
      <c r="J8" s="12">
        <v>20.951968352840701</v>
      </c>
      <c r="K8" s="12">
        <v>11.125735708485101</v>
      </c>
      <c r="L8" s="12">
        <v>11.4987400520743</v>
      </c>
      <c r="M8" s="12">
        <v>10.2801342330919</v>
      </c>
      <c r="N8" s="12">
        <v>0.92438864811100097</v>
      </c>
      <c r="O8" s="12">
        <v>61.687028576156798</v>
      </c>
      <c r="P8" s="12">
        <v>56.932576028952703</v>
      </c>
      <c r="Q8" s="12">
        <v>2.4546549381693299E-2</v>
      </c>
      <c r="R8" s="12">
        <v>8.6080758033574192</v>
      </c>
      <c r="S8" s="12">
        <v>29.346317897056</v>
      </c>
      <c r="T8" s="12">
        <v>43.040182084510498</v>
      </c>
      <c r="U8" s="12">
        <v>9.68368728849891E-2</v>
      </c>
      <c r="V8" s="12">
        <v>2.9578056024837499E-2</v>
      </c>
      <c r="W8" s="12">
        <v>0.110843526709375</v>
      </c>
      <c r="X8" s="12">
        <v>4.4146474223585697E-2</v>
      </c>
      <c r="Y8" s="12">
        <v>13.517529687363</v>
      </c>
    </row>
    <row r="9" spans="1:25" x14ac:dyDescent="0.35">
      <c r="A9" s="1">
        <v>46141.623622685198</v>
      </c>
      <c r="B9" s="6" t="s">
        <v>21</v>
      </c>
      <c r="C9" s="4" t="s">
        <v>104</v>
      </c>
      <c r="D9" s="37"/>
      <c r="E9" s="24" t="s">
        <v>139</v>
      </c>
      <c r="F9" s="11" t="s">
        <v>141</v>
      </c>
      <c r="G9" s="11">
        <f>SUM(H9,I9,J9,K9,L9,M9,N9,O9,P9,Q9,R9,S9,T9,U9,V9,W9,X9,Y9)</f>
        <v>396.74461724200069</v>
      </c>
      <c r="H9" s="12">
        <v>3.96456693113366</v>
      </c>
      <c r="I9" s="12">
        <v>91.329358880186305</v>
      </c>
      <c r="J9" s="12">
        <v>23.505593797686299</v>
      </c>
      <c r="K9" s="12">
        <v>16.6181532897061</v>
      </c>
      <c r="L9" s="12">
        <v>14.913781125488001</v>
      </c>
      <c r="M9" s="12">
        <v>10.0249052104752</v>
      </c>
      <c r="N9" s="12">
        <v>0.95206145621728899</v>
      </c>
      <c r="O9" s="12">
        <v>62.520224857524802</v>
      </c>
      <c r="P9" s="12">
        <v>63.228604867301499</v>
      </c>
      <c r="Q9" s="12">
        <v>1.26035462667956E-2</v>
      </c>
      <c r="R9" s="12">
        <v>8.3284405471348304</v>
      </c>
      <c r="S9" s="12">
        <v>37.358868248062699</v>
      </c>
      <c r="T9" s="12">
        <v>45.928968889455</v>
      </c>
      <c r="U9" s="12">
        <v>0.111916881024308</v>
      </c>
      <c r="V9" s="12">
        <v>7.3484466238868899E-3</v>
      </c>
      <c r="W9" s="12">
        <v>0.19942630399620101</v>
      </c>
      <c r="X9" s="12">
        <v>4.2642032169627697E-2</v>
      </c>
      <c r="Y9" s="12">
        <v>17.697151931548198</v>
      </c>
    </row>
    <row r="10" spans="1:25" x14ac:dyDescent="0.35">
      <c r="A10" s="1">
        <v>46141.620706018497</v>
      </c>
      <c r="B10" s="6" t="s">
        <v>21</v>
      </c>
      <c r="C10" s="4" t="s">
        <v>105</v>
      </c>
      <c r="D10" s="37"/>
      <c r="E10" s="24" t="s">
        <v>139</v>
      </c>
      <c r="F10" s="11" t="s">
        <v>142</v>
      </c>
      <c r="G10" s="11">
        <f>SUM(H10,I10,J10,K10,L10,M10,N10,O10,P10,Q10,R10,S10,T10,U10,V10,W10,X10,Y10)</f>
        <v>534.62868970083048</v>
      </c>
      <c r="H10" s="12">
        <v>4.3280679145449596</v>
      </c>
      <c r="I10" s="12">
        <v>180.288159534465</v>
      </c>
      <c r="J10" s="12">
        <v>35.558918490688001</v>
      </c>
      <c r="K10" s="12">
        <v>16.727006292044699</v>
      </c>
      <c r="L10" s="12">
        <v>44.9414974588463</v>
      </c>
      <c r="M10" s="12">
        <v>11.4589317319955</v>
      </c>
      <c r="N10" s="12">
        <v>1.0163095615831801</v>
      </c>
      <c r="O10" s="12">
        <v>61.200376347017396</v>
      </c>
      <c r="P10" s="12">
        <v>70.608931176213105</v>
      </c>
      <c r="Q10" s="12">
        <v>1.32819084956386E-2</v>
      </c>
      <c r="R10" s="12">
        <v>9.1545355564925703</v>
      </c>
      <c r="S10" s="12">
        <v>51.383352211553401</v>
      </c>
      <c r="T10" s="12">
        <v>28.052109999296999</v>
      </c>
      <c r="U10" s="12">
        <v>0.17478153467503699</v>
      </c>
      <c r="V10" s="12">
        <v>7.75183888944307E-3</v>
      </c>
      <c r="W10" s="12">
        <v>0.161491739088678</v>
      </c>
      <c r="X10" s="12">
        <v>4.8481679270159901E-2</v>
      </c>
      <c r="Y10" s="12">
        <v>19.5047047256704</v>
      </c>
    </row>
    <row r="11" spans="1:25" x14ac:dyDescent="0.35">
      <c r="A11" s="1">
        <v>46141.617743055598</v>
      </c>
      <c r="B11" s="6" t="s">
        <v>21</v>
      </c>
      <c r="C11" s="4" t="s">
        <v>109</v>
      </c>
      <c r="D11" s="37"/>
      <c r="E11" s="24" t="s">
        <v>139</v>
      </c>
      <c r="F11" s="11" t="s">
        <v>143</v>
      </c>
      <c r="G11" s="11">
        <f>SUM(H11,I11,J11,K11,L11,M11,N11,O11,P11,Q11,R11,S11,T11,U11,V11,W11,X11,Y11)</f>
        <v>499.98256896146097</v>
      </c>
      <c r="H11" s="12">
        <v>7.7178833635075597</v>
      </c>
      <c r="I11" s="12">
        <v>177.252207643025</v>
      </c>
      <c r="J11" s="12">
        <v>30.471756483427502</v>
      </c>
      <c r="K11" s="12">
        <v>22.180584139472199</v>
      </c>
      <c r="L11" s="12">
        <v>25.220795857294299</v>
      </c>
      <c r="M11" s="12">
        <v>9.4983002782296992</v>
      </c>
      <c r="N11" s="12">
        <v>0.84530343150310405</v>
      </c>
      <c r="O11" s="12">
        <v>61.316085904454702</v>
      </c>
      <c r="P11" s="12">
        <v>57.949912988566901</v>
      </c>
      <c r="Q11" s="12">
        <v>3.1542896089499901E-2</v>
      </c>
      <c r="R11" s="12">
        <v>8.0899510418991891</v>
      </c>
      <c r="S11" s="12">
        <v>59.175357094185301</v>
      </c>
      <c r="T11" s="12">
        <v>17.956283896382299</v>
      </c>
      <c r="U11" s="12">
        <v>0.16700191917518201</v>
      </c>
      <c r="V11" s="12">
        <v>2.9202006286356001E-2</v>
      </c>
      <c r="W11" s="12">
        <v>3.7295701725222199</v>
      </c>
      <c r="X11" s="12">
        <v>4.5992388541931301E-2</v>
      </c>
      <c r="Y11" s="12">
        <v>18.304837456897999</v>
      </c>
    </row>
    <row r="12" spans="1:25" x14ac:dyDescent="0.35">
      <c r="A12" s="1">
        <v>46141.632488425901</v>
      </c>
      <c r="B12" s="6" t="s">
        <v>21</v>
      </c>
      <c r="C12" s="4" t="s">
        <v>33</v>
      </c>
      <c r="D12" s="38"/>
      <c r="E12" s="24" t="s">
        <v>139</v>
      </c>
      <c r="F12" s="11" t="s">
        <v>144</v>
      </c>
      <c r="G12" s="11">
        <f>SUM(H12,I12,J12,K12,L12,M12,N12,O12,P12,Q12,R12,S12,T12,U12,V12,W12,X12,Y12)</f>
        <v>321.32348654813916</v>
      </c>
      <c r="H12" s="12">
        <v>2.6709197075100102</v>
      </c>
      <c r="I12" s="12">
        <v>46.572499417426897</v>
      </c>
      <c r="J12" s="12">
        <v>19.204558628264401</v>
      </c>
      <c r="K12" s="12">
        <v>26.4942171314297</v>
      </c>
      <c r="L12" s="12">
        <v>13.200837252953001</v>
      </c>
      <c r="M12" s="12">
        <v>11.5503538545602</v>
      </c>
      <c r="N12" s="12">
        <v>1.22460145286049</v>
      </c>
      <c r="O12" s="12">
        <v>61.669814318008498</v>
      </c>
      <c r="P12" s="12">
        <v>62.9122621834684</v>
      </c>
      <c r="Q12" s="12">
        <v>3.27153403121236E-2</v>
      </c>
      <c r="R12" s="12">
        <v>9.7508869025630602</v>
      </c>
      <c r="S12" s="12">
        <v>26.118043590382801</v>
      </c>
      <c r="T12" s="12">
        <v>20.862410510100201</v>
      </c>
      <c r="U12" s="12">
        <v>5.28990075942238E-2</v>
      </c>
      <c r="V12" s="12">
        <v>0</v>
      </c>
      <c r="W12" s="12">
        <v>3.5119292151554999</v>
      </c>
      <c r="X12" s="12">
        <v>2.5247560041877899E-2</v>
      </c>
      <c r="Y12" s="12">
        <v>15.469290475507799</v>
      </c>
    </row>
    <row r="13" spans="1:25" x14ac:dyDescent="0.35">
      <c r="A13" s="1">
        <v>46141.647199074097</v>
      </c>
      <c r="B13" s="6" t="s">
        <v>21</v>
      </c>
      <c r="C13" s="4" t="s">
        <v>111</v>
      </c>
      <c r="D13" s="33" t="s">
        <v>149</v>
      </c>
      <c r="E13" s="19" t="s">
        <v>148</v>
      </c>
      <c r="F13" s="13" t="s">
        <v>140</v>
      </c>
      <c r="G13" s="13">
        <f>SUM(H13,I13,J13,K13,L13,M13,N13,O13,P13,Q13,R13,S13,T13,U13,V13,W13,X13,Y13)</f>
        <v>265.93444001207615</v>
      </c>
      <c r="H13" s="14">
        <v>5.6115799921593599</v>
      </c>
      <c r="I13" s="14">
        <v>40.796313150531901</v>
      </c>
      <c r="J13" s="14">
        <v>24.992041856932701</v>
      </c>
      <c r="K13" s="14">
        <v>16.1352836977617</v>
      </c>
      <c r="L13" s="14">
        <v>20.582318524402201</v>
      </c>
      <c r="M13" s="14">
        <v>13.6593775447773</v>
      </c>
      <c r="N13" s="14">
        <v>1.0992212606254801</v>
      </c>
      <c r="O13" s="14">
        <v>54.536952187149303</v>
      </c>
      <c r="P13" s="14">
        <v>56.480964760444003</v>
      </c>
      <c r="Q13" s="14">
        <v>2.00264100346258E-2</v>
      </c>
      <c r="R13" s="14">
        <v>11.2296823458768</v>
      </c>
      <c r="S13" s="14">
        <v>5.10921601266016</v>
      </c>
      <c r="T13" s="14">
        <v>8.2679274252548307</v>
      </c>
      <c r="U13" s="14">
        <v>5.9909381808838702E-2</v>
      </c>
      <c r="V13" s="14">
        <v>7.1763486525420099E-3</v>
      </c>
      <c r="W13" s="14">
        <v>0.235378535074139</v>
      </c>
      <c r="X13" s="14">
        <v>1.1941940624289899E-2</v>
      </c>
      <c r="Y13" s="14">
        <v>7.0991286373059603</v>
      </c>
    </row>
    <row r="14" spans="1:25" x14ac:dyDescent="0.35">
      <c r="A14" s="1">
        <v>46141.644282407397</v>
      </c>
      <c r="B14" s="6" t="s">
        <v>21</v>
      </c>
      <c r="C14" s="4" t="s">
        <v>114</v>
      </c>
      <c r="D14" s="34"/>
      <c r="E14" s="19" t="s">
        <v>148</v>
      </c>
      <c r="F14" s="13" t="s">
        <v>141</v>
      </c>
      <c r="G14" s="13">
        <f>SUM(H14,I14,J14,K14,L14,M14,N14,O14,P14,Q14,R14,S14,T14,U14,V14,W14,X14,Y14)</f>
        <v>243.80861557768569</v>
      </c>
      <c r="H14" s="14">
        <v>1.84610972882209</v>
      </c>
      <c r="I14" s="14">
        <v>20.335990805356101</v>
      </c>
      <c r="J14" s="14">
        <v>22.937649417010601</v>
      </c>
      <c r="K14" s="14">
        <v>14.5330128394463</v>
      </c>
      <c r="L14" s="14">
        <v>11.2876400518312</v>
      </c>
      <c r="M14" s="14">
        <v>12.212869820388899</v>
      </c>
      <c r="N14" s="14">
        <v>0.92139316659047799</v>
      </c>
      <c r="O14" s="14">
        <v>55.715043402668698</v>
      </c>
      <c r="P14" s="14">
        <v>54.7905278439992</v>
      </c>
      <c r="Q14" s="14">
        <v>4.9166050604448702E-2</v>
      </c>
      <c r="R14" s="14">
        <v>10.507346065647299</v>
      </c>
      <c r="S14" s="14">
        <v>8.5695498205879908</v>
      </c>
      <c r="T14" s="14">
        <v>18.8896929664735</v>
      </c>
      <c r="U14" s="14">
        <v>6.6366383697632703E-2</v>
      </c>
      <c r="V14" s="14">
        <v>7.3882127845522E-3</v>
      </c>
      <c r="W14" s="14">
        <v>0.20021136978031501</v>
      </c>
      <c r="X14" s="14">
        <v>2.3272168290910101E-2</v>
      </c>
      <c r="Y14" s="14">
        <v>10.915385463705499</v>
      </c>
    </row>
    <row r="15" spans="1:25" x14ac:dyDescent="0.35">
      <c r="A15" s="1">
        <v>46141.641319444403</v>
      </c>
      <c r="B15" s="6" t="s">
        <v>21</v>
      </c>
      <c r="C15" s="4" t="s">
        <v>39</v>
      </c>
      <c r="D15" s="34"/>
      <c r="E15" s="19" t="s">
        <v>148</v>
      </c>
      <c r="F15" s="13" t="s">
        <v>142</v>
      </c>
      <c r="G15" s="13">
        <f>SUM(H15,I15,J15,K15,L15,M15,N15,O15,P15,Q15,R15,S15,T15,U15,V15,W15,X15,Y15)</f>
        <v>245.46062363368353</v>
      </c>
      <c r="H15" s="14">
        <v>2.6822971426048499</v>
      </c>
      <c r="I15" s="14">
        <v>26.496703864811099</v>
      </c>
      <c r="J15" s="14">
        <v>21.933033019205698</v>
      </c>
      <c r="K15" s="14">
        <v>16.049674606871001</v>
      </c>
      <c r="L15" s="14">
        <v>8.0963887475554301</v>
      </c>
      <c r="M15" s="14">
        <v>13.3526471060212</v>
      </c>
      <c r="N15" s="14">
        <v>1.0834507158247899</v>
      </c>
      <c r="O15" s="14">
        <v>58.715905913229797</v>
      </c>
      <c r="P15" s="14">
        <v>57.152673967831902</v>
      </c>
      <c r="Q15" s="14">
        <v>3.1478320852573002E-2</v>
      </c>
      <c r="R15" s="14">
        <v>11.0594266025437</v>
      </c>
      <c r="S15" s="14">
        <v>8.0418802320529394</v>
      </c>
      <c r="T15" s="14">
        <v>12.820132215515599</v>
      </c>
      <c r="U15" s="14">
        <v>0.109625183787091</v>
      </c>
      <c r="V15" s="14">
        <v>2.1968462373891901E-2</v>
      </c>
      <c r="W15" s="14">
        <v>0.13147951869450999</v>
      </c>
      <c r="X15" s="14">
        <v>1.66613052734669E-2</v>
      </c>
      <c r="Y15" s="14">
        <v>7.6651967086339301</v>
      </c>
    </row>
    <row r="16" spans="1:25" x14ac:dyDescent="0.35">
      <c r="A16" s="1">
        <v>46141.638391203698</v>
      </c>
      <c r="B16" s="6" t="s">
        <v>21</v>
      </c>
      <c r="C16" s="4" t="s">
        <v>115</v>
      </c>
      <c r="D16" s="34"/>
      <c r="E16" s="19" t="s">
        <v>148</v>
      </c>
      <c r="F16" s="13" t="s">
        <v>150</v>
      </c>
      <c r="G16" s="13">
        <f>SUM(H16,I16,J16,K16,L16,M16,N16,O16,P16,Q16,R16,S16,T16,U16,V16,W16,X16,Y16)</f>
        <v>331.21897345959894</v>
      </c>
      <c r="H16" s="14">
        <v>4.0686482972171998</v>
      </c>
      <c r="I16" s="14">
        <v>44.659977543876202</v>
      </c>
      <c r="J16" s="14">
        <v>24.900962743681202</v>
      </c>
      <c r="K16" s="14">
        <v>16.712091850213799</v>
      </c>
      <c r="L16" s="14">
        <v>20.2422054350228</v>
      </c>
      <c r="M16" s="14">
        <v>13.472897452206</v>
      </c>
      <c r="N16" s="14">
        <v>1.0911025235495899</v>
      </c>
      <c r="O16" s="14">
        <v>69.012658313340097</v>
      </c>
      <c r="P16" s="14">
        <v>74.209661785158701</v>
      </c>
      <c r="Q16" s="14">
        <v>2.5290534790013301E-2</v>
      </c>
      <c r="R16" s="14">
        <v>10.8688519105027</v>
      </c>
      <c r="S16" s="14">
        <v>17.927463379009499</v>
      </c>
      <c r="T16" s="14">
        <v>13.214609888475101</v>
      </c>
      <c r="U16" s="14">
        <v>0.129589473253652</v>
      </c>
      <c r="V16" s="14">
        <v>1.48609384106199E-2</v>
      </c>
      <c r="W16" s="14">
        <v>0.20755954214783101</v>
      </c>
      <c r="X16" s="14">
        <v>3.3050414389356297E-2</v>
      </c>
      <c r="Y16" s="14">
        <v>20.4274914343546</v>
      </c>
    </row>
    <row r="17" spans="1:25" x14ac:dyDescent="0.35">
      <c r="A17" s="1">
        <v>46141.635416666701</v>
      </c>
      <c r="B17" s="6" t="s">
        <v>21</v>
      </c>
      <c r="C17" s="4" t="s">
        <v>85</v>
      </c>
      <c r="D17" s="35"/>
      <c r="E17" s="19" t="s">
        <v>148</v>
      </c>
      <c r="F17" s="13" t="s">
        <v>143</v>
      </c>
      <c r="G17" s="13">
        <f>SUM(H17,I17,J17,K17,L17,M17,N17,O17,P17,Q17,R17,S17,T17,U17,V17,W17,X17,Y17)</f>
        <v>258.24607817673257</v>
      </c>
      <c r="H17" s="14">
        <v>6.2409218505739297</v>
      </c>
      <c r="I17" s="14">
        <v>27.491270497420398</v>
      </c>
      <c r="J17" s="14">
        <v>21.618914389008701</v>
      </c>
      <c r="K17" s="14">
        <v>13.5148285105517</v>
      </c>
      <c r="L17" s="14">
        <v>3.5723876753776498</v>
      </c>
      <c r="M17" s="14">
        <v>10.8983768633677</v>
      </c>
      <c r="N17" s="14">
        <v>0.90076486479325701</v>
      </c>
      <c r="O17" s="14">
        <v>63.245238634692697</v>
      </c>
      <c r="P17" s="14">
        <v>57.730511332310599</v>
      </c>
      <c r="Q17" s="14" t="s">
        <v>25</v>
      </c>
      <c r="R17" s="14">
        <v>9.6556465018630302</v>
      </c>
      <c r="S17" s="14">
        <v>17.9236395987554</v>
      </c>
      <c r="T17" s="14">
        <v>10.862169206034901</v>
      </c>
      <c r="U17" s="14">
        <v>7.6594041332341004E-2</v>
      </c>
      <c r="V17" s="14">
        <v>7.2828180098449997E-3</v>
      </c>
      <c r="W17" s="14">
        <v>0.15267440552140801</v>
      </c>
      <c r="X17" s="14">
        <v>4.1784641749136903E-2</v>
      </c>
      <c r="Y17" s="14">
        <v>14.3130723453699</v>
      </c>
    </row>
    <row r="18" spans="1:25" x14ac:dyDescent="0.35">
      <c r="A18" s="1">
        <v>46141.650162037004</v>
      </c>
      <c r="B18" s="6" t="s">
        <v>21</v>
      </c>
      <c r="C18" s="4" t="s">
        <v>36</v>
      </c>
      <c r="D18" s="33" t="s">
        <v>147</v>
      </c>
      <c r="E18" s="19" t="s">
        <v>159</v>
      </c>
      <c r="F18" s="15" t="s">
        <v>160</v>
      </c>
      <c r="G18" s="15">
        <f>SUM(H18,I18,J18,K18,L18,M18,N18,O18,P18,Q18,R18,S18,T18,U18,V18,W18,X18,Y18)</f>
        <v>3316.529352859709</v>
      </c>
      <c r="H18" s="16">
        <v>43.842778991917598</v>
      </c>
      <c r="I18" s="16">
        <v>2475.1093086204301</v>
      </c>
      <c r="J18" s="16">
        <v>56.392784577773099</v>
      </c>
      <c r="K18" s="16">
        <v>21.083525443384399</v>
      </c>
      <c r="L18" s="16">
        <v>488.41380828861401</v>
      </c>
      <c r="M18" s="16">
        <v>14.9031313417139</v>
      </c>
      <c r="N18" s="16">
        <v>1.3293685592569799</v>
      </c>
      <c r="O18" s="16">
        <v>58.373045543329702</v>
      </c>
      <c r="P18" s="16">
        <v>68.188000996822396</v>
      </c>
      <c r="Q18" s="16">
        <v>0.165526224715148</v>
      </c>
      <c r="R18" s="16">
        <v>12.234962140175901</v>
      </c>
      <c r="S18" s="16">
        <v>54.7401211550293</v>
      </c>
      <c r="T18" s="16">
        <v>12.256782858196299</v>
      </c>
      <c r="U18" s="16">
        <v>8.9291007647591597E-2</v>
      </c>
      <c r="V18" s="16">
        <v>3.3214935991357497E-2</v>
      </c>
      <c r="W18" s="16">
        <v>3.2368762768539301</v>
      </c>
      <c r="X18" s="16">
        <v>2.68626170563015E-2</v>
      </c>
      <c r="Y18" s="16">
        <v>6.1099632808014004</v>
      </c>
    </row>
    <row r="19" spans="1:25" x14ac:dyDescent="0.35">
      <c r="A19" s="1">
        <v>46141.653078703697</v>
      </c>
      <c r="B19" s="6" t="s">
        <v>21</v>
      </c>
      <c r="C19" s="4" t="s">
        <v>79</v>
      </c>
      <c r="D19" s="34"/>
      <c r="E19" s="19" t="s">
        <v>159</v>
      </c>
      <c r="F19" s="15" t="s">
        <v>161</v>
      </c>
      <c r="G19" s="15">
        <f>SUM(H19,I19,J19,K19,L19,M19,N19,O19,P19,Q19,R19,S19,T19,U19,V19,W19,X19,Y19)</f>
        <v>3039.0422057404448</v>
      </c>
      <c r="H19" s="16">
        <v>43.0446475966029</v>
      </c>
      <c r="I19" s="16">
        <v>2314.25144787115</v>
      </c>
      <c r="J19" s="16">
        <v>59.638426491987502</v>
      </c>
      <c r="K19" s="16">
        <v>16.878144706055402</v>
      </c>
      <c r="L19" s="16">
        <v>446.84216386085302</v>
      </c>
      <c r="M19" s="16">
        <v>13.3403464162521</v>
      </c>
      <c r="N19" s="16">
        <v>0.92391675120686001</v>
      </c>
      <c r="O19" s="16">
        <v>52.1962292905135</v>
      </c>
      <c r="P19" s="16">
        <v>52.3077826053294</v>
      </c>
      <c r="Q19" s="16">
        <v>3.1525392480134498E-3</v>
      </c>
      <c r="R19" s="16">
        <v>11.1853798219434</v>
      </c>
      <c r="S19" s="16">
        <v>9.8951467799458808</v>
      </c>
      <c r="T19" s="16">
        <v>12.910480049735099</v>
      </c>
      <c r="U19" s="16">
        <v>5.4331068967025803E-2</v>
      </c>
      <c r="V19" s="16">
        <v>7.1509344094956703E-3</v>
      </c>
      <c r="W19" s="16">
        <v>5.0350358639279396</v>
      </c>
      <c r="X19" s="16">
        <v>2.8726259123247701E-2</v>
      </c>
      <c r="Y19" s="16">
        <v>0.49969683319445501</v>
      </c>
    </row>
    <row r="20" spans="1:25" x14ac:dyDescent="0.35">
      <c r="A20" s="1">
        <v>46141.656053240702</v>
      </c>
      <c r="B20" s="6" t="s">
        <v>21</v>
      </c>
      <c r="C20" s="4" t="s">
        <v>117</v>
      </c>
      <c r="D20" s="34"/>
      <c r="E20" s="19" t="s">
        <v>148</v>
      </c>
      <c r="F20" s="15" t="s">
        <v>162</v>
      </c>
      <c r="G20" s="15">
        <f>SUM(H20,I20,J20,K20,L20,M20,N20,O20,P20,Q20,R20,S20,T20,U20,V20,W20,X20,Y20)</f>
        <v>2947.1833456137092</v>
      </c>
      <c r="H20" s="16">
        <v>33.700376590207</v>
      </c>
      <c r="I20" s="16">
        <v>2250.7389926229198</v>
      </c>
      <c r="J20" s="16">
        <v>44.802451469306902</v>
      </c>
      <c r="K20" s="16">
        <v>23.668836989358098</v>
      </c>
      <c r="L20" s="16">
        <v>431.61332170005699</v>
      </c>
      <c r="M20" s="16">
        <v>13.484216671261599</v>
      </c>
      <c r="N20" s="16">
        <v>1.0557604683749799</v>
      </c>
      <c r="O20" s="16">
        <v>51.358312524224502</v>
      </c>
      <c r="P20" s="16">
        <v>53.229426747291598</v>
      </c>
      <c r="Q20" s="16">
        <v>1.5774087438484401E-2</v>
      </c>
      <c r="R20" s="16">
        <v>10.7041058414733</v>
      </c>
      <c r="S20" s="16">
        <v>9.0937862648593697</v>
      </c>
      <c r="T20" s="16">
        <v>16.875414937183901</v>
      </c>
      <c r="U20" s="16">
        <v>4.5729259559399403E-2</v>
      </c>
      <c r="V20" s="16">
        <v>7.3806474151370503E-3</v>
      </c>
      <c r="W20" s="16">
        <v>5.9249085353285302</v>
      </c>
      <c r="X20" s="16">
        <v>6.1564237270429402E-2</v>
      </c>
      <c r="Y20" s="16">
        <v>0.80298602017935705</v>
      </c>
    </row>
    <row r="21" spans="1:25" x14ac:dyDescent="0.35">
      <c r="A21" s="1">
        <v>46141.661932870396</v>
      </c>
      <c r="B21" s="6" t="s">
        <v>21</v>
      </c>
      <c r="C21" s="4" t="s">
        <v>106</v>
      </c>
      <c r="D21" s="35"/>
      <c r="E21" s="19" t="s">
        <v>148</v>
      </c>
      <c r="F21" s="15" t="s">
        <v>162</v>
      </c>
      <c r="G21" s="15">
        <f>SUM(H21,I21,J21,K21,L21,M21,N21,O21,P21,Q21,R21,S21,T21,U21,V21,W21,X21,Y21)</f>
        <v>3001.0659505493472</v>
      </c>
      <c r="H21" s="16">
        <v>32.099118263482097</v>
      </c>
      <c r="I21" s="16">
        <v>2313.4890431075401</v>
      </c>
      <c r="J21" s="16">
        <v>47.043573803005202</v>
      </c>
      <c r="K21" s="16">
        <v>24.110876103262601</v>
      </c>
      <c r="L21" s="16">
        <v>433.30069857114501</v>
      </c>
      <c r="M21" s="16">
        <v>13.3823354174214</v>
      </c>
      <c r="N21" s="16">
        <v>0.88836707353743205</v>
      </c>
      <c r="O21" s="16">
        <v>47.154138019972699</v>
      </c>
      <c r="P21" s="16">
        <v>50.368563468510999</v>
      </c>
      <c r="Q21" s="16">
        <v>8.0288938343748405E-3</v>
      </c>
      <c r="R21" s="16">
        <v>11.1758555450633</v>
      </c>
      <c r="S21" s="16">
        <v>7.9540807659945898</v>
      </c>
      <c r="T21" s="16">
        <v>13.492151652319601</v>
      </c>
      <c r="U21" s="16">
        <v>3.7169542783959501E-2</v>
      </c>
      <c r="V21" s="16">
        <v>2.85488449750756E-2</v>
      </c>
      <c r="W21" s="16">
        <v>5.8027130951754797</v>
      </c>
      <c r="X21" s="16">
        <v>4.7904468453059401E-2</v>
      </c>
      <c r="Y21" s="16">
        <v>0.68278391287096996</v>
      </c>
    </row>
    <row r="22" spans="1:25" x14ac:dyDescent="0.35">
      <c r="A22" s="1">
        <v>46141.658969907403</v>
      </c>
      <c r="B22" s="6" t="s">
        <v>21</v>
      </c>
      <c r="C22" s="4" t="s">
        <v>28</v>
      </c>
      <c r="D22" s="17" t="s">
        <v>146</v>
      </c>
      <c r="E22" s="19" t="s">
        <v>148</v>
      </c>
      <c r="F22" s="15" t="s">
        <v>163</v>
      </c>
      <c r="G22" s="15">
        <f>SUM(H22,I22,J22,K22,L22,M22,N22,O22,P22,Q22,R22,S22,T22,U22,V22,W22,X22,Y22)</f>
        <v>3023.7230387216919</v>
      </c>
      <c r="H22" s="16">
        <v>39.179071268687899</v>
      </c>
      <c r="I22" s="16">
        <v>2316.74092545247</v>
      </c>
      <c r="J22" s="16">
        <v>45.097562396175</v>
      </c>
      <c r="K22" s="16">
        <v>27.4896161387266</v>
      </c>
      <c r="L22" s="16">
        <v>443.61286759437797</v>
      </c>
      <c r="M22" s="16">
        <v>13.244595527208199</v>
      </c>
      <c r="N22" s="16">
        <v>1.0173246210507101</v>
      </c>
      <c r="O22" s="16">
        <v>48.842430831050898</v>
      </c>
      <c r="P22" s="16">
        <v>51.243520559937103</v>
      </c>
      <c r="Q22" s="16">
        <v>1.9615588268218999E-2</v>
      </c>
      <c r="R22" s="16">
        <v>11.392289050024599</v>
      </c>
      <c r="S22" s="16">
        <v>7.3464350953055604</v>
      </c>
      <c r="T22" s="16">
        <v>10.817147756786699</v>
      </c>
      <c r="U22" s="16">
        <v>8.6169401510914595E-2</v>
      </c>
      <c r="V22" s="16">
        <v>2.36382807601936E-2</v>
      </c>
      <c r="W22" s="16">
        <v>6.9108981756493799</v>
      </c>
      <c r="X22" s="16">
        <v>3.2456941167221601E-2</v>
      </c>
      <c r="Y22" s="16">
        <v>0.62647404253537498</v>
      </c>
    </row>
    <row r="25" spans="1:25" x14ac:dyDescent="0.35">
      <c r="F25" s="26" t="s">
        <v>158</v>
      </c>
      <c r="G25">
        <f>MAX(G3:G22)</f>
        <v>5870.6648493225584</v>
      </c>
    </row>
  </sheetData>
  <mergeCells count="5">
    <mergeCell ref="D3:D6"/>
    <mergeCell ref="D7:D12"/>
    <mergeCell ref="D13:D17"/>
    <mergeCell ref="D18:D21"/>
    <mergeCell ref="A1:C1"/>
  </mergeCells>
  <phoneticPr fontId="4" type="noConversion"/>
  <pageMargins left="0.7" right="0.7" top="0.75" bottom="0.75" header="0.3" footer="0.3"/>
  <pageSetup paperSize="9" orientation="landscape" r:id="rId1"/>
  <ignoredErrors>
    <ignoredError sqref="C4 C9 C6 C15 C12 C18:C20 C2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7178A50-E31B-4184-8B90-B711BBF25A28}">
          <x14:formula1>
            <xm:f>ValueList_Helper!$A$1:$A$20</xm:f>
          </x14:formula1>
          <xm:sqref>B28:B32 B3:B22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E93E-3ABB-4E6A-A3E9-4D05FBD79F79}">
  <dimension ref="A1:Q28"/>
  <sheetViews>
    <sheetView tabSelected="1" topLeftCell="B19" zoomScale="115" zoomScaleNormal="115" workbookViewId="0">
      <selection activeCell="C29" sqref="C29"/>
    </sheetView>
  </sheetViews>
  <sheetFormatPr defaultRowHeight="14.5" x14ac:dyDescent="0.35"/>
  <cols>
    <col min="1" max="1" width="14.7265625" bestFit="1" customWidth="1"/>
    <col min="3" max="3" width="26.54296875" bestFit="1" customWidth="1"/>
    <col min="4" max="4" width="17.90625" bestFit="1" customWidth="1"/>
    <col min="5" max="5" width="40.90625" bestFit="1" customWidth="1"/>
  </cols>
  <sheetData>
    <row r="1" spans="1:17" x14ac:dyDescent="0.35">
      <c r="A1" s="28"/>
      <c r="B1" s="29"/>
      <c r="C1" s="2"/>
      <c r="D1" s="2"/>
      <c r="E1" s="2"/>
      <c r="F1" s="30" t="s">
        <v>75</v>
      </c>
      <c r="G1" s="31"/>
      <c r="H1" s="32"/>
      <c r="I1" s="30" t="s">
        <v>9</v>
      </c>
      <c r="J1" s="31"/>
      <c r="K1" s="32"/>
      <c r="L1" s="30" t="s">
        <v>65</v>
      </c>
      <c r="M1" s="31"/>
      <c r="N1" s="32"/>
      <c r="O1" s="30" t="s">
        <v>15</v>
      </c>
      <c r="P1" s="31"/>
      <c r="Q1" s="32"/>
    </row>
    <row r="2" spans="1:17" x14ac:dyDescent="0.35">
      <c r="A2" s="8" t="s">
        <v>60</v>
      </c>
      <c r="B2" s="8" t="s">
        <v>95</v>
      </c>
      <c r="C2" s="8" t="s">
        <v>138</v>
      </c>
      <c r="D2" s="8"/>
      <c r="E2" s="8" t="s">
        <v>118</v>
      </c>
      <c r="F2" s="8" t="s">
        <v>89</v>
      </c>
      <c r="G2" s="8" t="s">
        <v>86</v>
      </c>
      <c r="H2" s="8" t="s">
        <v>43</v>
      </c>
      <c r="I2" s="8" t="s">
        <v>89</v>
      </c>
      <c r="J2" s="8" t="s">
        <v>86</v>
      </c>
      <c r="K2" s="8" t="s">
        <v>43</v>
      </c>
      <c r="L2" s="8" t="s">
        <v>89</v>
      </c>
      <c r="M2" s="8" t="s">
        <v>86</v>
      </c>
      <c r="N2" s="8" t="s">
        <v>43</v>
      </c>
      <c r="O2" s="8" t="s">
        <v>89</v>
      </c>
      <c r="P2" s="8" t="s">
        <v>86</v>
      </c>
      <c r="Q2" s="8" t="s">
        <v>43</v>
      </c>
    </row>
    <row r="9" spans="1:17" x14ac:dyDescent="0.35">
      <c r="A9" s="1">
        <v>46141.608946759297</v>
      </c>
      <c r="B9" s="4" t="s">
        <v>18</v>
      </c>
      <c r="C9" s="42" t="s">
        <v>145</v>
      </c>
      <c r="D9" s="23" t="s">
        <v>155</v>
      </c>
      <c r="E9" s="9" t="s">
        <v>157</v>
      </c>
      <c r="F9" s="10">
        <v>45740.696666666699</v>
      </c>
      <c r="G9" s="10">
        <v>0.73080646500147906</v>
      </c>
      <c r="H9" s="10">
        <v>7.1701929258008903</v>
      </c>
      <c r="I9" s="10">
        <v>18204.996666666699</v>
      </c>
      <c r="J9" s="10">
        <v>2.6948582999045301</v>
      </c>
      <c r="K9" s="10">
        <v>5.4304100937753201</v>
      </c>
      <c r="L9" s="10">
        <v>5115.9833333333299</v>
      </c>
      <c r="M9" s="10">
        <v>2.2099054902331301</v>
      </c>
      <c r="N9" s="10">
        <v>3.6492004859321101</v>
      </c>
      <c r="O9" s="10">
        <v>1650.15333333333</v>
      </c>
      <c r="P9" s="10">
        <v>5.3875452967956496</v>
      </c>
      <c r="Q9" s="10">
        <v>0.81628349270710299</v>
      </c>
    </row>
    <row r="10" spans="1:17" x14ac:dyDescent="0.35">
      <c r="A10" s="1">
        <v>46141.605972222198</v>
      </c>
      <c r="B10" s="4" t="s">
        <v>76</v>
      </c>
      <c r="C10" s="34"/>
      <c r="D10" s="23" t="s">
        <v>156</v>
      </c>
      <c r="E10" s="9" t="s">
        <v>70</v>
      </c>
      <c r="F10" s="10">
        <v>2855307.4566666698</v>
      </c>
      <c r="G10" s="10">
        <v>0.34910817382934101</v>
      </c>
      <c r="H10" s="10">
        <v>1074.52434831097</v>
      </c>
      <c r="I10" s="10">
        <v>863814.44</v>
      </c>
      <c r="J10" s="10">
        <v>6.6790256805229903E-2</v>
      </c>
      <c r="K10" s="10">
        <v>1232.92698779589</v>
      </c>
      <c r="L10" s="10">
        <v>132347.82999999999</v>
      </c>
      <c r="M10" s="10">
        <v>1.0231325825952999</v>
      </c>
      <c r="N10" s="10">
        <v>118.40802957552501</v>
      </c>
      <c r="O10" s="10">
        <v>9500.2033333333293</v>
      </c>
      <c r="P10" s="10">
        <v>4.0098196068479499</v>
      </c>
      <c r="Q10" s="10">
        <v>5.6608927552473203</v>
      </c>
    </row>
    <row r="11" spans="1:17" x14ac:dyDescent="0.35">
      <c r="A11" s="1">
        <v>46141.614826388897</v>
      </c>
      <c r="B11" s="4" t="s">
        <v>103</v>
      </c>
      <c r="C11" s="34"/>
      <c r="D11" s="23" t="s">
        <v>156</v>
      </c>
      <c r="E11" s="9" t="s">
        <v>42</v>
      </c>
      <c r="F11" s="10">
        <v>3335789.32333333</v>
      </c>
      <c r="G11" s="10">
        <v>0.79267211256700398</v>
      </c>
      <c r="H11" s="10">
        <v>1449.6599950790501</v>
      </c>
      <c r="I11" s="10">
        <v>1000344.7</v>
      </c>
      <c r="J11" s="10">
        <v>0.13633516980723101</v>
      </c>
      <c r="K11" s="10">
        <v>1370.9088623764701</v>
      </c>
      <c r="L11" s="10">
        <v>115695.74666666699</v>
      </c>
      <c r="M11" s="10">
        <v>1.5143194654808001</v>
      </c>
      <c r="N11" s="10">
        <v>99.219080002477597</v>
      </c>
      <c r="O11" s="10">
        <v>2370.29</v>
      </c>
      <c r="P11" s="10">
        <v>7.8836315879859002</v>
      </c>
      <c r="Q11" s="10">
        <v>1.3089589635430501</v>
      </c>
    </row>
    <row r="12" spans="1:17" x14ac:dyDescent="0.35">
      <c r="A12" s="1">
        <v>46141.611863425896</v>
      </c>
      <c r="B12" s="4" t="s">
        <v>52</v>
      </c>
      <c r="C12" s="35"/>
      <c r="D12" s="23" t="s">
        <v>156</v>
      </c>
      <c r="E12" s="9" t="s">
        <v>158</v>
      </c>
      <c r="F12" s="10">
        <v>6857528.6466666702</v>
      </c>
      <c r="G12" s="10">
        <v>0.24377994032068201</v>
      </c>
      <c r="H12" s="10">
        <v>2735.3211409364599</v>
      </c>
      <c r="I12" s="10">
        <v>2026453.46</v>
      </c>
      <c r="J12" s="10">
        <v>1.7474527567270599</v>
      </c>
      <c r="K12" s="10">
        <v>2739.51575538829</v>
      </c>
      <c r="L12" s="10">
        <v>193164.41333333301</v>
      </c>
      <c r="M12" s="10">
        <v>1.6817257504260199</v>
      </c>
      <c r="N12" s="10">
        <v>162.58404812875</v>
      </c>
      <c r="O12" s="10">
        <v>2717.0266666666698</v>
      </c>
      <c r="P12" s="10">
        <v>7.8122967879517997</v>
      </c>
      <c r="Q12" s="10">
        <v>1.49519574065228</v>
      </c>
    </row>
    <row r="13" spans="1:17" ht="14.5" customHeight="1" x14ac:dyDescent="0.35">
      <c r="A13" s="1">
        <v>46141.629513888904</v>
      </c>
      <c r="B13" s="4" t="s">
        <v>88</v>
      </c>
      <c r="C13" s="39" t="s">
        <v>164</v>
      </c>
      <c r="D13" s="20" t="s">
        <v>139</v>
      </c>
      <c r="E13" s="11" t="s">
        <v>152</v>
      </c>
      <c r="F13" s="12">
        <v>183682.99</v>
      </c>
      <c r="G13" s="12">
        <v>0.452084056924487</v>
      </c>
      <c r="H13" s="12">
        <v>62.547652036269298</v>
      </c>
      <c r="I13" s="12">
        <v>60861.083333333299</v>
      </c>
      <c r="J13" s="12">
        <v>0.95617404236223902</v>
      </c>
      <c r="K13" s="12">
        <v>63.926654259694899</v>
      </c>
      <c r="L13" s="12">
        <v>43221.52</v>
      </c>
      <c r="M13" s="12">
        <v>0.95440183235209697</v>
      </c>
      <c r="N13" s="12">
        <v>35.345132713868701</v>
      </c>
      <c r="O13" s="12">
        <v>223.34333333333299</v>
      </c>
      <c r="P13" s="12">
        <v>26.988554721467899</v>
      </c>
      <c r="Q13" s="12">
        <v>8.2720466408185506E-2</v>
      </c>
    </row>
    <row r="14" spans="1:17" x14ac:dyDescent="0.35">
      <c r="A14" s="1">
        <v>46141.626597222203</v>
      </c>
      <c r="B14" s="4" t="s">
        <v>56</v>
      </c>
      <c r="C14" s="40"/>
      <c r="D14" s="20" t="s">
        <v>139</v>
      </c>
      <c r="E14" s="11" t="s">
        <v>140</v>
      </c>
      <c r="F14" s="12">
        <v>165441.80666666699</v>
      </c>
      <c r="G14" s="12">
        <v>1.17196923324441</v>
      </c>
      <c r="H14" s="12">
        <v>61.687028576156798</v>
      </c>
      <c r="I14" s="12">
        <v>55189.9866666667</v>
      </c>
      <c r="J14" s="12">
        <v>8.7083276651630404E-2</v>
      </c>
      <c r="K14" s="12">
        <v>56.932576028952703</v>
      </c>
      <c r="L14" s="12">
        <v>35674.293333333299</v>
      </c>
      <c r="M14" s="12">
        <v>1.17495340530549</v>
      </c>
      <c r="N14" s="12">
        <v>29.346317897056</v>
      </c>
      <c r="O14" s="12">
        <v>246.67666666666699</v>
      </c>
      <c r="P14" s="12">
        <v>6.1924188140423899</v>
      </c>
      <c r="Q14" s="12">
        <v>9.68368728849891E-2</v>
      </c>
    </row>
    <row r="15" spans="1:17" x14ac:dyDescent="0.35">
      <c r="A15" s="1">
        <v>46141.623622685198</v>
      </c>
      <c r="B15" s="4" t="s">
        <v>104</v>
      </c>
      <c r="C15" s="40"/>
      <c r="D15" s="21" t="s">
        <v>139</v>
      </c>
      <c r="E15" s="11" t="s">
        <v>141</v>
      </c>
      <c r="F15" s="12">
        <v>182732.45</v>
      </c>
      <c r="G15" s="12">
        <v>0.51932247599791204</v>
      </c>
      <c r="H15" s="12">
        <v>62.520224857524802</v>
      </c>
      <c r="I15" s="12">
        <v>59694.606666666703</v>
      </c>
      <c r="J15" s="12">
        <v>0.47816268139015899</v>
      </c>
      <c r="K15" s="12">
        <v>63.228604867301499</v>
      </c>
      <c r="L15" s="12">
        <v>45182.773333333302</v>
      </c>
      <c r="M15" s="12">
        <v>0.87876306886313005</v>
      </c>
      <c r="N15" s="12">
        <v>37.358868248062699</v>
      </c>
      <c r="O15" s="12">
        <v>276.67666666666702</v>
      </c>
      <c r="P15" s="12">
        <v>14.607129444697399</v>
      </c>
      <c r="Q15" s="12">
        <v>0.111916881024308</v>
      </c>
    </row>
    <row r="16" spans="1:17" x14ac:dyDescent="0.35">
      <c r="A16" s="1">
        <v>46141.620706018497</v>
      </c>
      <c r="B16" s="4" t="s">
        <v>105</v>
      </c>
      <c r="C16" s="40"/>
      <c r="D16" s="21" t="s">
        <v>139</v>
      </c>
      <c r="E16" s="11" t="s">
        <v>153</v>
      </c>
      <c r="F16" s="12">
        <v>179899.64666666699</v>
      </c>
      <c r="G16" s="12">
        <v>0.410875734620262</v>
      </c>
      <c r="H16" s="12">
        <v>61.200376347017396</v>
      </c>
      <c r="I16" s="12">
        <v>59774.76</v>
      </c>
      <c r="J16" s="12">
        <v>1.06814757252669</v>
      </c>
      <c r="K16" s="12">
        <v>70.608931176213105</v>
      </c>
      <c r="L16" s="12">
        <v>56857.01</v>
      </c>
      <c r="M16" s="12">
        <v>1.1358009628240899</v>
      </c>
      <c r="N16" s="12">
        <v>51.383352211553401</v>
      </c>
      <c r="O16" s="12">
        <v>366.68666666666701</v>
      </c>
      <c r="P16" s="12">
        <v>3.1490115222237902</v>
      </c>
      <c r="Q16" s="12">
        <v>0.17478153467503699</v>
      </c>
    </row>
    <row r="17" spans="1:17" x14ac:dyDescent="0.35">
      <c r="A17" s="1">
        <v>46141.617743055598</v>
      </c>
      <c r="B17" s="4" t="s">
        <v>109</v>
      </c>
      <c r="C17" s="40"/>
      <c r="D17" s="21" t="s">
        <v>139</v>
      </c>
      <c r="E17" s="11" t="s">
        <v>143</v>
      </c>
      <c r="F17" s="12">
        <v>180151.213333333</v>
      </c>
      <c r="G17" s="12">
        <v>0.58752121770539401</v>
      </c>
      <c r="H17" s="12">
        <v>61.316085904454702</v>
      </c>
      <c r="I17" s="12">
        <v>57808.6</v>
      </c>
      <c r="J17" s="12">
        <v>1.2719991222614899</v>
      </c>
      <c r="K17" s="12">
        <v>57.949912988566901</v>
      </c>
      <c r="L17" s="12">
        <v>74021.163333333301</v>
      </c>
      <c r="M17" s="12">
        <v>0.44797996019533098</v>
      </c>
      <c r="N17" s="12">
        <v>59.175357094185301</v>
      </c>
      <c r="O17" s="12">
        <v>376.68666666666701</v>
      </c>
      <c r="P17" s="12">
        <v>24.525610178136201</v>
      </c>
      <c r="Q17" s="12">
        <v>0.16700191917518201</v>
      </c>
    </row>
    <row r="18" spans="1:17" x14ac:dyDescent="0.35">
      <c r="A18" s="1">
        <v>46141.632488425901</v>
      </c>
      <c r="B18" s="4" t="s">
        <v>33</v>
      </c>
      <c r="C18" s="41"/>
      <c r="D18" s="21" t="s">
        <v>139</v>
      </c>
      <c r="E18" s="11" t="s">
        <v>144</v>
      </c>
      <c r="F18" s="12">
        <v>177859.273333333</v>
      </c>
      <c r="G18" s="12">
        <v>1.1971985121739099</v>
      </c>
      <c r="H18" s="12">
        <v>61.669814318008498</v>
      </c>
      <c r="I18" s="12">
        <v>59185.83</v>
      </c>
      <c r="J18" s="12">
        <v>0.47649716620188498</v>
      </c>
      <c r="K18" s="12">
        <v>62.9122621834684</v>
      </c>
      <c r="L18" s="12">
        <v>31528.203333333298</v>
      </c>
      <c r="M18" s="12">
        <v>1.2414661238285101</v>
      </c>
      <c r="N18" s="12">
        <v>26.118043590382801</v>
      </c>
      <c r="O18" s="12">
        <v>170.006666666667</v>
      </c>
      <c r="P18" s="12">
        <v>50.259628543506402</v>
      </c>
      <c r="Q18" s="12">
        <v>5.28990075942238E-2</v>
      </c>
    </row>
    <row r="19" spans="1:17" x14ac:dyDescent="0.35">
      <c r="A19" s="1">
        <v>46141.647199074097</v>
      </c>
      <c r="B19" s="4" t="s">
        <v>111</v>
      </c>
      <c r="C19" s="42" t="s">
        <v>149</v>
      </c>
      <c r="D19" s="22" t="s">
        <v>148</v>
      </c>
      <c r="E19" s="13" t="s">
        <v>140</v>
      </c>
      <c r="F19" s="14">
        <v>156447.31</v>
      </c>
      <c r="G19" s="14">
        <v>0.54276155548004101</v>
      </c>
      <c r="H19" s="14">
        <v>54.536952187149303</v>
      </c>
      <c r="I19" s="14">
        <v>52732.723333333299</v>
      </c>
      <c r="J19" s="14">
        <v>1.47086451780132</v>
      </c>
      <c r="K19" s="14">
        <v>56.480964760444003</v>
      </c>
      <c r="L19" s="14">
        <v>6213.1333333333296</v>
      </c>
      <c r="M19" s="14">
        <v>0.72639752299051796</v>
      </c>
      <c r="N19" s="14">
        <v>5.10921601266016</v>
      </c>
      <c r="O19" s="14">
        <v>183.34333333333299</v>
      </c>
      <c r="P19" s="14">
        <v>8.3315013634816193</v>
      </c>
      <c r="Q19" s="14">
        <v>5.9909381808838702E-2</v>
      </c>
    </row>
    <row r="20" spans="1:17" x14ac:dyDescent="0.35">
      <c r="A20" s="1">
        <v>46141.635416666701</v>
      </c>
      <c r="B20" s="4" t="s">
        <v>85</v>
      </c>
      <c r="C20" s="43"/>
      <c r="D20" s="22" t="s">
        <v>148</v>
      </c>
      <c r="E20" s="13" t="s">
        <v>141</v>
      </c>
      <c r="F20" s="14">
        <v>160063.73333333299</v>
      </c>
      <c r="G20" s="14">
        <v>0.27421685713448202</v>
      </c>
      <c r="H20" s="14">
        <v>55.715043402668698</v>
      </c>
      <c r="I20" s="14">
        <v>54233.243333333303</v>
      </c>
      <c r="J20" s="14">
        <v>3.39326202816149</v>
      </c>
      <c r="K20" s="14">
        <v>54.7905278439992</v>
      </c>
      <c r="L20" s="14">
        <v>10789.223333333301</v>
      </c>
      <c r="M20" s="14">
        <v>0.69236135197279702</v>
      </c>
      <c r="N20" s="14">
        <v>8.5695498205879908</v>
      </c>
      <c r="O20" s="14">
        <v>200.01</v>
      </c>
      <c r="P20" s="14">
        <v>9.9995000249986603</v>
      </c>
      <c r="Q20" s="14">
        <v>6.6366383697632703E-2</v>
      </c>
    </row>
    <row r="21" spans="1:17" x14ac:dyDescent="0.35">
      <c r="A21" s="1">
        <v>46141.638391203698</v>
      </c>
      <c r="B21" s="4" t="s">
        <v>115</v>
      </c>
      <c r="C21" s="43"/>
      <c r="D21" s="22" t="s">
        <v>148</v>
      </c>
      <c r="E21" s="13" t="s">
        <v>153</v>
      </c>
      <c r="F21" s="14">
        <v>163853.096666667</v>
      </c>
      <c r="G21" s="14">
        <v>0.31161436065738701</v>
      </c>
      <c r="H21" s="14">
        <v>58.715905913229797</v>
      </c>
      <c r="I21" s="14">
        <v>55064.706666666701</v>
      </c>
      <c r="J21" s="14">
        <v>0.74842516362934297</v>
      </c>
      <c r="K21" s="14">
        <v>57.152673967831902</v>
      </c>
      <c r="L21" s="14">
        <v>9943.5666666666693</v>
      </c>
      <c r="M21" s="14">
        <v>2.8813510079814901</v>
      </c>
      <c r="N21" s="14">
        <v>8.0418802320529394</v>
      </c>
      <c r="O21" s="14">
        <v>270.01333333333298</v>
      </c>
      <c r="P21" s="14">
        <v>3.7016692077710101</v>
      </c>
      <c r="Q21" s="14">
        <v>0.109625183787091</v>
      </c>
    </row>
    <row r="22" spans="1:17" x14ac:dyDescent="0.35">
      <c r="A22" s="1">
        <v>46141.641319444403</v>
      </c>
      <c r="B22" s="4" t="s">
        <v>39</v>
      </c>
      <c r="C22" s="43"/>
      <c r="D22" s="22" t="s">
        <v>148</v>
      </c>
      <c r="E22" s="13" t="s">
        <v>154</v>
      </c>
      <c r="F22" s="14">
        <v>195637.373333333</v>
      </c>
      <c r="G22" s="14">
        <v>0.82724331950000596</v>
      </c>
      <c r="H22" s="14">
        <v>69.012658313340097</v>
      </c>
      <c r="I22" s="14">
        <v>65802.413333333301</v>
      </c>
      <c r="J22" s="14">
        <v>0.52118938051523001</v>
      </c>
      <c r="K22" s="14">
        <v>74.209661785158701</v>
      </c>
      <c r="L22" s="14">
        <v>21172.456666666701</v>
      </c>
      <c r="M22" s="14">
        <v>1.17102332246462</v>
      </c>
      <c r="N22" s="14">
        <v>17.927463379009499</v>
      </c>
      <c r="O22" s="14">
        <v>303.35000000000002</v>
      </c>
      <c r="P22" s="14">
        <v>18.746654376065401</v>
      </c>
      <c r="Q22" s="14">
        <v>0.129589473253652</v>
      </c>
    </row>
    <row r="23" spans="1:17" x14ac:dyDescent="0.35">
      <c r="A23" s="1">
        <v>46141.644282407397</v>
      </c>
      <c r="B23" s="4" t="s">
        <v>114</v>
      </c>
      <c r="C23" s="44"/>
      <c r="D23" s="22" t="s">
        <v>148</v>
      </c>
      <c r="E23" s="13" t="s">
        <v>151</v>
      </c>
      <c r="F23" s="14">
        <v>178382.563333333</v>
      </c>
      <c r="G23" s="14">
        <v>0.66948313210513699</v>
      </c>
      <c r="H23" s="14">
        <v>63.245238634692697</v>
      </c>
      <c r="I23" s="14">
        <v>59719.526666666701</v>
      </c>
      <c r="J23" s="14">
        <v>2.0354880215914299</v>
      </c>
      <c r="K23" s="14">
        <v>57.730511332310599</v>
      </c>
      <c r="L23" s="14">
        <v>23476.026666666701</v>
      </c>
      <c r="M23" s="14">
        <v>1.2054159501914301</v>
      </c>
      <c r="N23" s="14">
        <v>17.9236395987554</v>
      </c>
      <c r="O23" s="14">
        <v>233.34333333333299</v>
      </c>
      <c r="P23" s="14">
        <v>17.842086763134201</v>
      </c>
      <c r="Q23" s="14">
        <v>7.6594041332341004E-2</v>
      </c>
    </row>
    <row r="24" spans="1:17" x14ac:dyDescent="0.35">
      <c r="A24" s="1">
        <v>46141.650162037004</v>
      </c>
      <c r="B24" s="4" t="s">
        <v>36</v>
      </c>
      <c r="C24" s="42" t="s">
        <v>147</v>
      </c>
      <c r="D24" s="22" t="s">
        <v>159</v>
      </c>
      <c r="E24" s="15" t="s">
        <v>160</v>
      </c>
      <c r="F24" s="16">
        <v>168483.06</v>
      </c>
      <c r="G24" s="16">
        <v>0.36797302544936</v>
      </c>
      <c r="H24" s="16">
        <v>58.373045543329702</v>
      </c>
      <c r="I24" s="16">
        <v>57448.87</v>
      </c>
      <c r="J24" s="16">
        <v>2.6218516633494802</v>
      </c>
      <c r="K24" s="16">
        <v>68.188000996822396</v>
      </c>
      <c r="L24" s="16">
        <v>59889.196666666699</v>
      </c>
      <c r="M24" s="16">
        <v>0.96466167367863898</v>
      </c>
      <c r="N24" s="16">
        <v>54.7401211550293</v>
      </c>
      <c r="O24" s="16">
        <v>216.67666666666699</v>
      </c>
      <c r="P24" s="16">
        <v>18.6519939894808</v>
      </c>
      <c r="Q24" s="16">
        <v>8.9291007647591597E-2</v>
      </c>
    </row>
    <row r="25" spans="1:17" x14ac:dyDescent="0.35">
      <c r="A25" s="1">
        <v>46141.653078703697</v>
      </c>
      <c r="B25" s="4" t="s">
        <v>79</v>
      </c>
      <c r="C25" s="43"/>
      <c r="D25" s="22" t="s">
        <v>159</v>
      </c>
      <c r="E25" s="15" t="s">
        <v>161</v>
      </c>
      <c r="F25" s="16">
        <v>153469.57</v>
      </c>
      <c r="G25" s="16">
        <v>1.2511575747113901</v>
      </c>
      <c r="H25" s="16">
        <v>52.1962292905135</v>
      </c>
      <c r="I25" s="16">
        <v>51742.3766666667</v>
      </c>
      <c r="J25" s="16">
        <v>1.75279007237064</v>
      </c>
      <c r="K25" s="16">
        <v>52.3077826053294</v>
      </c>
      <c r="L25" s="16">
        <v>12237.07</v>
      </c>
      <c r="M25" s="16">
        <v>0.874846056929936</v>
      </c>
      <c r="N25" s="16">
        <v>9.8951467799458808</v>
      </c>
      <c r="O25" s="16">
        <v>173.34333333333299</v>
      </c>
      <c r="P25" s="16">
        <v>14.5180747942824</v>
      </c>
      <c r="Q25" s="16">
        <v>5.4331068967025803E-2</v>
      </c>
    </row>
    <row r="26" spans="1:17" x14ac:dyDescent="0.35">
      <c r="A26" s="1">
        <v>46141.656053240702</v>
      </c>
      <c r="B26" s="4" t="s">
        <v>117</v>
      </c>
      <c r="C26" s="43"/>
      <c r="D26" s="22" t="s">
        <v>148</v>
      </c>
      <c r="E26" s="15" t="s">
        <v>162</v>
      </c>
      <c r="F26" s="16">
        <v>149359.09</v>
      </c>
      <c r="G26" s="16">
        <v>1.1164568039640099</v>
      </c>
      <c r="H26" s="16">
        <v>51.358312524224502</v>
      </c>
      <c r="I26" s="16">
        <v>51561.726666666698</v>
      </c>
      <c r="J26" s="16">
        <v>1.7207276779437399</v>
      </c>
      <c r="K26" s="16">
        <v>53.229426747291598</v>
      </c>
      <c r="L26" s="16">
        <v>11079.426666666701</v>
      </c>
      <c r="M26" s="16">
        <v>0.97735922725361302</v>
      </c>
      <c r="N26" s="16">
        <v>9.0937862648593697</v>
      </c>
      <c r="O26" s="16">
        <v>153.33666666666701</v>
      </c>
      <c r="P26" s="16">
        <v>33.4698391984114</v>
      </c>
      <c r="Q26" s="16">
        <v>4.5729259559399403E-2</v>
      </c>
    </row>
    <row r="27" spans="1:17" x14ac:dyDescent="0.35">
      <c r="A27" s="1">
        <v>46141.661932870396</v>
      </c>
      <c r="B27" s="4" t="s">
        <v>106</v>
      </c>
      <c r="C27" s="44"/>
      <c r="D27" s="22" t="s">
        <v>148</v>
      </c>
      <c r="E27" s="15" t="s">
        <v>162</v>
      </c>
      <c r="F27" s="16">
        <v>140316.76999999999</v>
      </c>
      <c r="G27" s="16">
        <v>0.38840631389666203</v>
      </c>
      <c r="H27" s="16">
        <v>47.154138019972699</v>
      </c>
      <c r="I27" s="16">
        <v>48324</v>
      </c>
      <c r="J27" s="16">
        <v>2.29824209174767</v>
      </c>
      <c r="K27" s="16">
        <v>50.368563468510999</v>
      </c>
      <c r="L27" s="16">
        <v>9473.2566666666698</v>
      </c>
      <c r="M27" s="16">
        <v>4.83724024581453</v>
      </c>
      <c r="N27" s="16">
        <v>7.9540807659945898</v>
      </c>
      <c r="O27" s="16">
        <v>136.66999999999999</v>
      </c>
      <c r="P27" s="16">
        <v>4.2201867192539497</v>
      </c>
      <c r="Q27" s="16">
        <v>3.7169542783959501E-2</v>
      </c>
    </row>
    <row r="28" spans="1:17" x14ac:dyDescent="0.35">
      <c r="A28" s="1">
        <v>46141.658969907403</v>
      </c>
      <c r="B28" s="4" t="s">
        <v>28</v>
      </c>
      <c r="C28" s="23" t="s">
        <v>146</v>
      </c>
      <c r="D28" s="22" t="s">
        <v>148</v>
      </c>
      <c r="E28" s="15" t="s">
        <v>163</v>
      </c>
      <c r="F28" s="16">
        <v>141677.843333333</v>
      </c>
      <c r="G28" s="16">
        <v>0.26596909121470902</v>
      </c>
      <c r="H28" s="16">
        <v>48.842430831050898</v>
      </c>
      <c r="I28" s="16">
        <v>49180.186666666697</v>
      </c>
      <c r="J28" s="16">
        <v>2.9378526559099898</v>
      </c>
      <c r="K28" s="16">
        <v>51.243520559937103</v>
      </c>
      <c r="L28" s="16">
        <v>8844.5300000000007</v>
      </c>
      <c r="M28" s="16">
        <v>6.0727616659838102</v>
      </c>
      <c r="N28" s="16">
        <v>7.3464350953055604</v>
      </c>
      <c r="O28" s="16">
        <v>220.01</v>
      </c>
      <c r="P28" s="16">
        <v>27.647663880270098</v>
      </c>
      <c r="Q28" s="16">
        <v>8.6169401510914595E-2</v>
      </c>
    </row>
  </sheetData>
  <mergeCells count="9">
    <mergeCell ref="C19:C23"/>
    <mergeCell ref="C24:C27"/>
    <mergeCell ref="C9:C12"/>
    <mergeCell ref="L1:N1"/>
    <mergeCell ref="O1:Q1"/>
    <mergeCell ref="F1:H1"/>
    <mergeCell ref="I1:K1"/>
    <mergeCell ref="A1:B1"/>
    <mergeCell ref="C13:C1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4BF2-0C99-4D2F-8CBF-32A9E220C13A}">
  <dimension ref="A1:H28"/>
  <sheetViews>
    <sheetView zoomScale="85" zoomScaleNormal="85" workbookViewId="0">
      <selection activeCell="C2" sqref="C2"/>
    </sheetView>
  </sheetViews>
  <sheetFormatPr defaultRowHeight="14.5" x14ac:dyDescent="0.35"/>
  <cols>
    <col min="2" max="2" width="26.54296875" bestFit="1" customWidth="1"/>
    <col min="3" max="3" width="17.90625" bestFit="1" customWidth="1"/>
    <col min="4" max="4" width="40.90625" customWidth="1"/>
    <col min="5" max="6" width="10.81640625" bestFit="1" customWidth="1"/>
    <col min="7" max="7" width="10.90625" bestFit="1" customWidth="1"/>
    <col min="8" max="8" width="11.7265625" bestFit="1" customWidth="1"/>
  </cols>
  <sheetData>
    <row r="1" spans="1:8" x14ac:dyDescent="0.35">
      <c r="A1" s="3"/>
      <c r="B1" s="2"/>
      <c r="C1" s="2"/>
      <c r="D1" s="2"/>
      <c r="E1" s="25" t="s">
        <v>75</v>
      </c>
      <c r="F1" s="25" t="s">
        <v>9</v>
      </c>
      <c r="G1" s="25" t="s">
        <v>65</v>
      </c>
      <c r="H1" s="25" t="s">
        <v>15</v>
      </c>
    </row>
    <row r="2" spans="1:8" x14ac:dyDescent="0.35">
      <c r="A2" s="8" t="s">
        <v>95</v>
      </c>
      <c r="B2" s="8" t="s">
        <v>138</v>
      </c>
      <c r="C2" s="8" t="s">
        <v>165</v>
      </c>
      <c r="D2" s="8" t="s">
        <v>21</v>
      </c>
      <c r="E2" s="8" t="s">
        <v>43</v>
      </c>
      <c r="F2" s="8" t="s">
        <v>43</v>
      </c>
      <c r="G2" s="8" t="s">
        <v>43</v>
      </c>
      <c r="H2" s="8" t="s">
        <v>43</v>
      </c>
    </row>
    <row r="9" spans="1:8" x14ac:dyDescent="0.35">
      <c r="A9" s="4" t="s">
        <v>18</v>
      </c>
      <c r="B9" s="42" t="s">
        <v>145</v>
      </c>
      <c r="C9" s="23" t="s">
        <v>155</v>
      </c>
      <c r="D9" s="9" t="s">
        <v>157</v>
      </c>
      <c r="E9" s="10">
        <v>7.1701929258008903</v>
      </c>
      <c r="F9" s="10">
        <v>5.4304100937753201</v>
      </c>
      <c r="G9" s="10">
        <v>3.6492004859321101</v>
      </c>
      <c r="H9" s="10">
        <v>0.81628349270710299</v>
      </c>
    </row>
    <row r="10" spans="1:8" x14ac:dyDescent="0.35">
      <c r="A10" s="4" t="s">
        <v>76</v>
      </c>
      <c r="B10" s="34"/>
      <c r="C10" s="23" t="s">
        <v>156</v>
      </c>
      <c r="D10" s="9" t="s">
        <v>70</v>
      </c>
      <c r="E10" s="10">
        <v>1074.52434831097</v>
      </c>
      <c r="F10" s="10">
        <v>1232.92698779589</v>
      </c>
      <c r="G10" s="10">
        <v>118.40802957552501</v>
      </c>
      <c r="H10" s="10">
        <v>5.6608927552473203</v>
      </c>
    </row>
    <row r="11" spans="1:8" x14ac:dyDescent="0.35">
      <c r="A11" s="4" t="s">
        <v>103</v>
      </c>
      <c r="B11" s="34"/>
      <c r="C11" s="23" t="s">
        <v>156</v>
      </c>
      <c r="D11" s="9" t="s">
        <v>42</v>
      </c>
      <c r="E11" s="10">
        <v>1449.6599950790501</v>
      </c>
      <c r="F11" s="10">
        <v>1370.9088623764701</v>
      </c>
      <c r="G11" s="10">
        <v>99.219080002477597</v>
      </c>
      <c r="H11" s="10">
        <v>1.3089589635430501</v>
      </c>
    </row>
    <row r="12" spans="1:8" x14ac:dyDescent="0.35">
      <c r="A12" s="4" t="s">
        <v>52</v>
      </c>
      <c r="B12" s="35"/>
      <c r="C12" s="23" t="s">
        <v>156</v>
      </c>
      <c r="D12" s="9" t="s">
        <v>158</v>
      </c>
      <c r="E12" s="10">
        <v>2735.3211409364599</v>
      </c>
      <c r="F12" s="10">
        <v>2739.51575538829</v>
      </c>
      <c r="G12" s="10">
        <v>162.58404812875</v>
      </c>
      <c r="H12" s="10">
        <v>1.49519574065228</v>
      </c>
    </row>
    <row r="13" spans="1:8" ht="14.5" customHeight="1" x14ac:dyDescent="0.35">
      <c r="A13" s="4" t="s">
        <v>88</v>
      </c>
      <c r="B13" s="39" t="s">
        <v>164</v>
      </c>
      <c r="C13" s="20" t="s">
        <v>139</v>
      </c>
      <c r="D13" s="11" t="s">
        <v>152</v>
      </c>
      <c r="E13" s="12">
        <v>62.547652036269298</v>
      </c>
      <c r="F13" s="12">
        <v>63.926654259694899</v>
      </c>
      <c r="G13" s="12">
        <v>35.345132713868701</v>
      </c>
      <c r="H13" s="12">
        <v>8.2720466408185506E-2</v>
      </c>
    </row>
    <row r="14" spans="1:8" x14ac:dyDescent="0.35">
      <c r="A14" s="4" t="s">
        <v>56</v>
      </c>
      <c r="B14" s="40"/>
      <c r="C14" s="20" t="s">
        <v>139</v>
      </c>
      <c r="D14" s="11" t="s">
        <v>140</v>
      </c>
      <c r="E14" s="12">
        <v>61.687028576156798</v>
      </c>
      <c r="F14" s="12">
        <v>56.932576028952703</v>
      </c>
      <c r="G14" s="12">
        <v>29.346317897056</v>
      </c>
      <c r="H14" s="12">
        <v>9.68368728849891E-2</v>
      </c>
    </row>
    <row r="15" spans="1:8" x14ac:dyDescent="0.35">
      <c r="A15" s="4" t="s">
        <v>104</v>
      </c>
      <c r="B15" s="40"/>
      <c r="C15" s="21" t="s">
        <v>139</v>
      </c>
      <c r="D15" s="11" t="s">
        <v>141</v>
      </c>
      <c r="E15" s="12">
        <v>62.520224857524802</v>
      </c>
      <c r="F15" s="12">
        <v>63.228604867301499</v>
      </c>
      <c r="G15" s="12">
        <v>37.358868248062699</v>
      </c>
      <c r="H15" s="12">
        <v>0.111916881024308</v>
      </c>
    </row>
    <row r="16" spans="1:8" x14ac:dyDescent="0.35">
      <c r="A16" s="4" t="s">
        <v>105</v>
      </c>
      <c r="B16" s="40"/>
      <c r="C16" s="21" t="s">
        <v>139</v>
      </c>
      <c r="D16" s="11" t="s">
        <v>153</v>
      </c>
      <c r="E16" s="12">
        <v>61.200376347017396</v>
      </c>
      <c r="F16" s="12">
        <v>70.608931176213105</v>
      </c>
      <c r="G16" s="12">
        <v>51.383352211553401</v>
      </c>
      <c r="H16" s="12">
        <v>0.17478153467503699</v>
      </c>
    </row>
    <row r="17" spans="1:8" x14ac:dyDescent="0.35">
      <c r="A17" s="4" t="s">
        <v>109</v>
      </c>
      <c r="B17" s="40"/>
      <c r="C17" s="21" t="s">
        <v>139</v>
      </c>
      <c r="D17" s="11" t="s">
        <v>143</v>
      </c>
      <c r="E17" s="12">
        <v>61.316085904454702</v>
      </c>
      <c r="F17" s="12">
        <v>57.949912988566901</v>
      </c>
      <c r="G17" s="12">
        <v>59.175357094185301</v>
      </c>
      <c r="H17" s="12">
        <v>0.16700191917518201</v>
      </c>
    </row>
    <row r="18" spans="1:8" x14ac:dyDescent="0.35">
      <c r="A18" s="4" t="s">
        <v>33</v>
      </c>
      <c r="B18" s="41"/>
      <c r="C18" s="21" t="s">
        <v>139</v>
      </c>
      <c r="D18" s="11" t="s">
        <v>144</v>
      </c>
      <c r="E18" s="12">
        <v>61.669814318008498</v>
      </c>
      <c r="F18" s="12">
        <v>62.9122621834684</v>
      </c>
      <c r="G18" s="12">
        <v>26.118043590382801</v>
      </c>
      <c r="H18" s="12">
        <v>5.28990075942238E-2</v>
      </c>
    </row>
    <row r="19" spans="1:8" x14ac:dyDescent="0.35">
      <c r="A19" s="4" t="s">
        <v>111</v>
      </c>
      <c r="B19" s="42" t="s">
        <v>149</v>
      </c>
      <c r="C19" s="22" t="s">
        <v>148</v>
      </c>
      <c r="D19" s="13" t="s">
        <v>140</v>
      </c>
      <c r="E19" s="14">
        <v>54.536952187149303</v>
      </c>
      <c r="F19" s="14">
        <v>56.480964760444003</v>
      </c>
      <c r="G19" s="14">
        <v>5.10921601266016</v>
      </c>
      <c r="H19" s="14">
        <v>5.9909381808838702E-2</v>
      </c>
    </row>
    <row r="20" spans="1:8" x14ac:dyDescent="0.35">
      <c r="A20" s="4" t="s">
        <v>85</v>
      </c>
      <c r="B20" s="43"/>
      <c r="C20" s="22" t="s">
        <v>148</v>
      </c>
      <c r="D20" s="13" t="s">
        <v>141</v>
      </c>
      <c r="E20" s="14">
        <v>55.715043402668698</v>
      </c>
      <c r="F20" s="14">
        <v>54.7905278439992</v>
      </c>
      <c r="G20" s="14">
        <v>8.5695498205879908</v>
      </c>
      <c r="H20" s="14">
        <v>6.6366383697632703E-2</v>
      </c>
    </row>
    <row r="21" spans="1:8" x14ac:dyDescent="0.35">
      <c r="A21" s="4" t="s">
        <v>115</v>
      </c>
      <c r="B21" s="43"/>
      <c r="C21" s="22" t="s">
        <v>148</v>
      </c>
      <c r="D21" s="13" t="s">
        <v>153</v>
      </c>
      <c r="E21" s="14">
        <v>58.715905913229797</v>
      </c>
      <c r="F21" s="14">
        <v>57.152673967831902</v>
      </c>
      <c r="G21" s="14">
        <v>8.0418802320529394</v>
      </c>
      <c r="H21" s="14">
        <v>0.109625183787091</v>
      </c>
    </row>
    <row r="22" spans="1:8" x14ac:dyDescent="0.35">
      <c r="A22" s="4" t="s">
        <v>39</v>
      </c>
      <c r="B22" s="43"/>
      <c r="C22" s="22" t="s">
        <v>148</v>
      </c>
      <c r="D22" s="13" t="s">
        <v>154</v>
      </c>
      <c r="E22" s="14">
        <v>69.012658313340097</v>
      </c>
      <c r="F22" s="14">
        <v>74.209661785158701</v>
      </c>
      <c r="G22" s="14">
        <v>17.927463379009499</v>
      </c>
      <c r="H22" s="14">
        <v>0.129589473253652</v>
      </c>
    </row>
    <row r="23" spans="1:8" x14ac:dyDescent="0.35">
      <c r="A23" s="4" t="s">
        <v>114</v>
      </c>
      <c r="B23" s="44"/>
      <c r="C23" s="22" t="s">
        <v>148</v>
      </c>
      <c r="D23" s="13" t="s">
        <v>151</v>
      </c>
      <c r="E23" s="14">
        <v>63.245238634692697</v>
      </c>
      <c r="F23" s="14">
        <v>57.730511332310599</v>
      </c>
      <c r="G23" s="14">
        <v>17.9236395987554</v>
      </c>
      <c r="H23" s="14">
        <v>7.6594041332341004E-2</v>
      </c>
    </row>
    <row r="24" spans="1:8" x14ac:dyDescent="0.35">
      <c r="A24" s="4" t="s">
        <v>36</v>
      </c>
      <c r="B24" s="42" t="s">
        <v>147</v>
      </c>
      <c r="C24" s="22" t="s">
        <v>159</v>
      </c>
      <c r="D24" s="15" t="s">
        <v>160</v>
      </c>
      <c r="E24" s="16">
        <v>58.373045543329702</v>
      </c>
      <c r="F24" s="16">
        <v>68.188000996822396</v>
      </c>
      <c r="G24" s="16">
        <v>54.7401211550293</v>
      </c>
      <c r="H24" s="16">
        <v>8.9291007647591597E-2</v>
      </c>
    </row>
    <row r="25" spans="1:8" x14ac:dyDescent="0.35">
      <c r="A25" s="4" t="s">
        <v>79</v>
      </c>
      <c r="B25" s="43"/>
      <c r="C25" s="22" t="s">
        <v>159</v>
      </c>
      <c r="D25" s="15" t="s">
        <v>161</v>
      </c>
      <c r="E25" s="16">
        <v>52.1962292905135</v>
      </c>
      <c r="F25" s="16">
        <v>52.3077826053294</v>
      </c>
      <c r="G25" s="16">
        <v>9.8951467799458808</v>
      </c>
      <c r="H25" s="16">
        <v>5.4331068967025803E-2</v>
      </c>
    </row>
    <row r="26" spans="1:8" x14ac:dyDescent="0.35">
      <c r="A26" s="4" t="s">
        <v>117</v>
      </c>
      <c r="B26" s="43"/>
      <c r="C26" s="22" t="s">
        <v>148</v>
      </c>
      <c r="D26" s="15" t="s">
        <v>162</v>
      </c>
      <c r="E26" s="16">
        <v>51.358312524224502</v>
      </c>
      <c r="F26" s="16">
        <v>53.229426747291598</v>
      </c>
      <c r="G26" s="16">
        <v>9.0937862648593697</v>
      </c>
      <c r="H26" s="16">
        <v>4.5729259559399403E-2</v>
      </c>
    </row>
    <row r="27" spans="1:8" x14ac:dyDescent="0.35">
      <c r="A27" s="4" t="s">
        <v>106</v>
      </c>
      <c r="B27" s="44"/>
      <c r="C27" s="22" t="s">
        <v>148</v>
      </c>
      <c r="D27" s="15" t="s">
        <v>162</v>
      </c>
      <c r="E27" s="16">
        <v>47.154138019972699</v>
      </c>
      <c r="F27" s="16">
        <v>50.368563468510999</v>
      </c>
      <c r="G27" s="16">
        <v>7.9540807659945898</v>
      </c>
      <c r="H27" s="16">
        <v>3.7169542783959501E-2</v>
      </c>
    </row>
    <row r="28" spans="1:8" x14ac:dyDescent="0.35">
      <c r="A28" s="4" t="s">
        <v>28</v>
      </c>
      <c r="B28" s="23" t="s">
        <v>146</v>
      </c>
      <c r="C28" s="22" t="s">
        <v>148</v>
      </c>
      <c r="D28" s="15" t="s">
        <v>163</v>
      </c>
      <c r="E28" s="16">
        <v>48.842430831050898</v>
      </c>
      <c r="F28" s="16">
        <v>51.243520559937103</v>
      </c>
      <c r="G28" s="16">
        <v>7.3464350953055604</v>
      </c>
      <c r="H28" s="16">
        <v>8.6169401510914595E-2</v>
      </c>
    </row>
  </sheetData>
  <mergeCells count="4">
    <mergeCell ref="B13:B18"/>
    <mergeCell ref="B19:B23"/>
    <mergeCell ref="B24:B27"/>
    <mergeCell ref="B9:B12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8514-717F-4E8F-86A9-6548AE3774B0}">
  <dimension ref="A1"/>
  <sheetViews>
    <sheetView zoomScale="70" zoomScaleNormal="70" workbookViewId="0">
      <selection activeCell="O44" sqref="O44"/>
    </sheetView>
  </sheetViews>
  <sheetFormatPr defaultRowHeight="14.5" x14ac:dyDescent="0.35"/>
  <sheetData/>
  <pageMargins left="0.25" right="0.25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 x14ac:dyDescent="0.35"/>
  <sheetData>
    <row r="1" spans="1:1" x14ac:dyDescent="0.35">
      <c r="A1" t="s">
        <v>35</v>
      </c>
    </row>
    <row r="2" spans="1:1" x14ac:dyDescent="0.35">
      <c r="A2" t="s">
        <v>47</v>
      </c>
    </row>
    <row r="3" spans="1:1" x14ac:dyDescent="0.35">
      <c r="A3" t="s">
        <v>37</v>
      </c>
    </row>
    <row r="4" spans="1:1" x14ac:dyDescent="0.35">
      <c r="A4" t="s">
        <v>62</v>
      </c>
    </row>
    <row r="5" spans="1:1" x14ac:dyDescent="0.35">
      <c r="A5" t="s">
        <v>96</v>
      </c>
    </row>
    <row r="6" spans="1:1" x14ac:dyDescent="0.35">
      <c r="A6" t="s">
        <v>54</v>
      </c>
    </row>
    <row r="7" spans="1:1" x14ac:dyDescent="0.35">
      <c r="A7" t="s">
        <v>31</v>
      </c>
    </row>
    <row r="8" spans="1:1" x14ac:dyDescent="0.35">
      <c r="A8" t="s">
        <v>32</v>
      </c>
    </row>
    <row r="9" spans="1:1" x14ac:dyDescent="0.35">
      <c r="A9" t="s">
        <v>34</v>
      </c>
    </row>
    <row r="10" spans="1:1" x14ac:dyDescent="0.35">
      <c r="A10" t="s">
        <v>77</v>
      </c>
    </row>
    <row r="11" spans="1:1" x14ac:dyDescent="0.35">
      <c r="A11" t="s">
        <v>1</v>
      </c>
    </row>
    <row r="12" spans="1:1" x14ac:dyDescent="0.35">
      <c r="A12" t="s">
        <v>53</v>
      </c>
    </row>
    <row r="13" spans="1:1" x14ac:dyDescent="0.35">
      <c r="A13" t="s">
        <v>48</v>
      </c>
    </row>
    <row r="14" spans="1:1" x14ac:dyDescent="0.35">
      <c r="A14" t="s">
        <v>90</v>
      </c>
    </row>
    <row r="15" spans="1:1" x14ac:dyDescent="0.35">
      <c r="A15" t="s">
        <v>21</v>
      </c>
    </row>
    <row r="16" spans="1:1" x14ac:dyDescent="0.35">
      <c r="A16" t="s">
        <v>11</v>
      </c>
    </row>
    <row r="17" spans="1:1" x14ac:dyDescent="0.35">
      <c r="A17" t="s">
        <v>93</v>
      </c>
    </row>
    <row r="18" spans="1:1" x14ac:dyDescent="0.35">
      <c r="A18" t="s">
        <v>23</v>
      </c>
    </row>
    <row r="19" spans="1:1" x14ac:dyDescent="0.35">
      <c r="A19" t="s">
        <v>38</v>
      </c>
    </row>
    <row r="20" spans="1:1" x14ac:dyDescent="0.35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ICP Data</vt:lpstr>
      <vt:lpstr>Clean Data</vt:lpstr>
      <vt:lpstr>Graph View</vt:lpstr>
      <vt:lpstr>Graph View (2)</vt:lpstr>
      <vt:lpstr>G2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Bridge, Ollie</cp:lastModifiedBy>
  <cp:lastPrinted>2026-05-11T12:50:13Z</cp:lastPrinted>
  <dcterms:created xsi:type="dcterms:W3CDTF">2026-05-05T15:16:48Z</dcterms:created>
  <dcterms:modified xsi:type="dcterms:W3CDTF">2026-07-09T11:47:41Z</dcterms:modified>
</cp:coreProperties>
</file>