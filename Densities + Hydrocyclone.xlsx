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ojb125_ic_ac_uk/Documents/21 - Research Master's Project/Data/"/>
    </mc:Choice>
  </mc:AlternateContent>
  <xr:revisionPtr revIDLastSave="554" documentId="8_{6F51CF53-EEF1-4673-A716-A9B9968A921C}" xr6:coauthVersionLast="47" xr6:coauthVersionMax="47" xr10:uidLastSave="{EE618323-1B7D-4A72-8C06-95F00B60B221}"/>
  <bookViews>
    <workbookView xWindow="38280" yWindow="-120" windowWidth="29040" windowHeight="16440" firstSheet="1" activeTab="6" xr2:uid="{88838B6E-DEA0-4FAB-B558-6349981F31F6}"/>
  </bookViews>
  <sheets>
    <sheet name="Overview" sheetId="3" r:id="rId1"/>
    <sheet name="UBH - Post Sep Powder" sheetId="1" r:id="rId2"/>
    <sheet name="UBH - Pre Sep Powder" sheetId="2" r:id="rId3"/>
    <sheet name="Hydrocylone" sheetId="4" r:id="rId4"/>
    <sheet name="Electrostatic Field Sep" sheetId="5" r:id="rId5"/>
    <sheet name="Ionic Liquid Screener" sheetId="6" r:id="rId6"/>
    <sheet name="Ionic Liquid Screener (2)" sheetId="7" r:id="rId7"/>
    <sheet name="Sheet2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5" l="1"/>
  <c r="D14" i="5"/>
  <c r="F10" i="3"/>
  <c r="E10" i="3"/>
  <c r="D10" i="3"/>
  <c r="F9" i="3"/>
  <c r="F11" i="3" s="1"/>
  <c r="E9" i="3"/>
  <c r="E11" i="3" s="1"/>
  <c r="D9" i="3"/>
  <c r="D11" i="3" s="1"/>
  <c r="E7" i="3"/>
  <c r="D7" i="3"/>
  <c r="F6" i="3"/>
  <c r="E6" i="3"/>
  <c r="D6" i="3"/>
  <c r="F5" i="3"/>
  <c r="F7" i="3" s="1"/>
  <c r="E5" i="3"/>
  <c r="D5" i="3"/>
  <c r="L10" i="2"/>
  <c r="M10" i="2"/>
  <c r="K10" i="2"/>
  <c r="L9" i="2"/>
  <c r="M9" i="2"/>
  <c r="K9" i="2"/>
  <c r="L8" i="2"/>
  <c r="M8" i="2"/>
  <c r="K8" i="2"/>
  <c r="L6" i="2"/>
  <c r="M6" i="2"/>
  <c r="K6" i="2"/>
  <c r="L5" i="2"/>
  <c r="M5" i="2"/>
  <c r="K5" i="2"/>
  <c r="L4" i="2"/>
  <c r="M4" i="2"/>
  <c r="K4" i="2"/>
  <c r="F10" i="1"/>
  <c r="E10" i="1"/>
  <c r="D10" i="1"/>
  <c r="F9" i="1"/>
  <c r="E9" i="1"/>
  <c r="D9" i="1"/>
  <c r="F6" i="1"/>
  <c r="E6" i="1"/>
  <c r="F5" i="1"/>
  <c r="E5" i="1"/>
  <c r="D5" i="1"/>
  <c r="D6" i="1"/>
  <c r="F8" i="1"/>
  <c r="E8" i="1"/>
  <c r="D8" i="1"/>
  <c r="F4" i="1"/>
  <c r="E4" i="1"/>
  <c r="D4" i="1"/>
</calcChain>
</file>

<file path=xl/sharedStrings.xml><?xml version="1.0" encoding="utf-8"?>
<sst xmlns="http://schemas.openxmlformats.org/spreadsheetml/2006/main" count="254" uniqueCount="102">
  <si>
    <t>Bulk Density Data</t>
  </si>
  <si>
    <t>Loose</t>
  </si>
  <si>
    <t>Tapped</t>
  </si>
  <si>
    <t>Vo (cm3)</t>
  </si>
  <si>
    <t>Density (kg/m3)</t>
  </si>
  <si>
    <t>mass (kg)</t>
  </si>
  <si>
    <t>mass (g)</t>
  </si>
  <si>
    <t>Vo (m3)</t>
  </si>
  <si>
    <t>Bulk Density Data - UBH Post Sep</t>
  </si>
  <si>
    <t>Bulk Density Data - UBH Pre Sep</t>
  </si>
  <si>
    <t>Separation Efficiency %</t>
  </si>
  <si>
    <t>Geometry</t>
  </si>
  <si>
    <t>Test</t>
  </si>
  <si>
    <t>Split Ratio</t>
  </si>
  <si>
    <t>Linear</t>
  </si>
  <si>
    <t>Convex</t>
  </si>
  <si>
    <t>Concave</t>
  </si>
  <si>
    <t>Mean Sep %</t>
  </si>
  <si>
    <t>SD</t>
  </si>
  <si>
    <t>Mean Split Ratio</t>
  </si>
  <si>
    <t>N4</t>
  </si>
  <si>
    <t>N3</t>
  </si>
  <si>
    <t>N2</t>
  </si>
  <si>
    <t>N1</t>
  </si>
  <si>
    <t>P1</t>
  </si>
  <si>
    <t>P2</t>
  </si>
  <si>
    <t>P3</t>
  </si>
  <si>
    <t>Mass (g)</t>
  </si>
  <si>
    <t>30 kV</t>
  </si>
  <si>
    <t>15 kV</t>
  </si>
  <si>
    <t xml:space="preserve">total </t>
  </si>
  <si>
    <t>total</t>
  </si>
  <si>
    <t>Position</t>
  </si>
  <si>
    <t>Exp ID</t>
  </si>
  <si>
    <t>Ni</t>
  </si>
  <si>
    <t>Ag</t>
  </si>
  <si>
    <t>5% H2O2</t>
  </si>
  <si>
    <t>~100%</t>
  </si>
  <si>
    <t>5% H2O2 + 1.5% acid</t>
  </si>
  <si>
    <t>Additive</t>
  </si>
  <si>
    <t>Mg</t>
  </si>
  <si>
    <t>Extraction yield</t>
  </si>
  <si>
    <t>Fe</t>
  </si>
  <si>
    <t>Cu</t>
  </si>
  <si>
    <t>Zn</t>
  </si>
  <si>
    <t>Pb</t>
  </si>
  <si>
    <t>Bi</t>
  </si>
  <si>
    <t>Cu/Ag</t>
  </si>
  <si>
    <t>Ionic Liquid</t>
  </si>
  <si>
    <t>Al</t>
  </si>
  <si>
    <t>1-Butyl-3-methylimidazolium chloride</t>
  </si>
  <si>
    <t>1-Methylimidazolium hydrogen sulfate</t>
  </si>
  <si>
    <t>1-Methylimidazolium chloride</t>
  </si>
  <si>
    <t>Benzyltriethylammonium chloride</t>
  </si>
  <si>
    <t>1-Butyl-4-methylpyridinium Chloride</t>
  </si>
  <si>
    <t>Short Name</t>
  </si>
  <si>
    <t>[Hmim] [HSO4]</t>
  </si>
  <si>
    <t>[Hmim] [Cl]</t>
  </si>
  <si>
    <t>[b4mpy] [Cl]</t>
  </si>
  <si>
    <t>BTEA</t>
  </si>
  <si>
    <t xml:space="preserve">[Bmim][Cl] </t>
  </si>
  <si>
    <t>[Hmim][HSO4]</t>
  </si>
  <si>
    <t>[Hmim][Cl]</t>
  </si>
  <si>
    <t>[Hmim] [HSO4] + 1.5% acid</t>
  </si>
  <si>
    <t>[Hmim] [Cl] + 1.5% acid</t>
  </si>
  <si>
    <t>BTEA + 1.5% acid</t>
  </si>
  <si>
    <t>[Bmim] [Cl] + 1.5% acid</t>
  </si>
  <si>
    <t>[b4mpy] [Cl] + 1.5% acid</t>
  </si>
  <si>
    <t>[Bmim][Cl] + 1.5% acid</t>
  </si>
  <si>
    <t>[Hmim][HSO4] + 1.5% acid</t>
  </si>
  <si>
    <t>[Hmim][Cl] + 1.5% acid</t>
  </si>
  <si>
    <t>[b4mpy][Cl] + 1.5% acid</t>
  </si>
  <si>
    <t>[b4mpy][Cl]</t>
  </si>
  <si>
    <t>Run</t>
  </si>
  <si>
    <t>Temp (°C)</t>
  </si>
  <si>
    <t>H₂O₂ (%)</t>
  </si>
  <si>
    <t>L/S</t>
  </si>
  <si>
    <t>Time (hr)</t>
  </si>
  <si>
    <t>CP1–3</t>
  </si>
  <si>
    <t>30:1</t>
  </si>
  <si>
    <t>10:1</t>
  </si>
  <si>
    <t>20:1</t>
  </si>
  <si>
    <t>Risk</t>
  </si>
  <si>
    <t>Likelihood</t>
  </si>
  <si>
    <t>Impact</t>
  </si>
  <si>
    <t>Risk Level</t>
  </si>
  <si>
    <t>Mitigation</t>
  </si>
  <si>
    <t>ICP-MS access delays</t>
  </si>
  <si>
    <t>High</t>
  </si>
  <si>
    <t>Book immediately, maintain technician communication, batch samples efficiently</t>
  </si>
  <si>
    <t>Insufficient 75 µm material</t>
  </si>
  <si>
    <t>Medium</t>
  </si>
  <si>
    <t>Temperature repeat contradicts DSD plan</t>
  </si>
  <si>
    <t>Low</t>
  </si>
  <si>
    <t>IL volume insufficient for 30:1 L/S runs</t>
  </si>
  <si>
    <t>Electrodeposition PLS complexity</t>
  </si>
  <si>
    <t>Thesis time compression</t>
  </si>
  <si>
    <t>Experimental scope deliberately limited to ensure writing time protected from Week 6</t>
  </si>
  <si>
    <t>1 kg [Hmim]HSO₄ ordered. sufficient for ~25 runs at 30:1 with 1g powder</t>
  </si>
  <si>
    <t>CV on PLS before bulk plating, potential window characterised before committing to deposition conditions</t>
  </si>
  <si>
    <t>Run additional sieving batches from UBH stock - ongoing supply confirmed</t>
  </si>
  <si>
    <t>DSD designed to accommodate either outcome - 3 or 4 variable version both feasible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</si>
</sst>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0" xfId="0" applyFont="1" applyAlignment="1">
      <alignment horizontal="center" vertical="center"/>
    </xf>
    <xf numFmtId="0" fontId="1" fillId="0" borderId="0" xfId="0" applyFont="1"/>
    <xf numFmtId="9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0" fillId="2" borderId="1" xfId="0" applyFill="1" applyBorder="1"/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4" fillId="0" borderId="1" xfId="0" applyNumberFormat="1" applyFont="1" applyBorder="1"/>
    <xf numFmtId="0" fontId="1" fillId="0" borderId="1" xfId="0" applyFont="1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left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wrapText="1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63636"/>
      <color rgb="FFBE4E4E"/>
      <color rgb="FF4F81BD"/>
      <color rgb="FF0000FF"/>
      <color rgb="FFFF0000"/>
      <color rgb="FFFF47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Hydrocyclone Mean Separation Efficiencies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Hydrocylone!$J$2</c:f>
              <c:strCache>
                <c:ptCount val="1"/>
                <c:pt idx="0">
                  <c:v>Mean Sep %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4.3978472125014059E-2"/>
                  <c:y val="-6.93348613936067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666-4469-8E25-92A6BBE4BD01}"/>
                </c:ext>
              </c:extLst>
            </c:dLbl>
            <c:dLbl>
              <c:idx val="1"/>
              <c:layout>
                <c:manualLayout>
                  <c:x val="-4.3934253915609012E-2"/>
                  <c:y val="-6.92520963149668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66-4469-8E25-92A6BBE4BD01}"/>
                </c:ext>
              </c:extLst>
            </c:dLbl>
            <c:dLbl>
              <c:idx val="2"/>
              <c:layout>
                <c:manualLayout>
                  <c:x val="-3.8904033033666297E-2"/>
                  <c:y val="-6.65614669378624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666-4469-8E25-92A6BBE4BD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Hydrocylone!$K$3:$K$5</c:f>
                <c:numCache>
                  <c:formatCode>General</c:formatCode>
                  <c:ptCount val="3"/>
                  <c:pt idx="0">
                    <c:v>2.12</c:v>
                  </c:pt>
                  <c:pt idx="1">
                    <c:v>2.12</c:v>
                  </c:pt>
                  <c:pt idx="2">
                    <c:v>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Hydrocylone!$I$3:$I$5</c:f>
              <c:strCache>
                <c:ptCount val="3"/>
                <c:pt idx="0">
                  <c:v>Linear</c:v>
                </c:pt>
                <c:pt idx="1">
                  <c:v>Convex</c:v>
                </c:pt>
                <c:pt idx="2">
                  <c:v>Concave</c:v>
                </c:pt>
              </c:strCache>
            </c:strRef>
          </c:cat>
          <c:val>
            <c:numRef>
              <c:f>Hydrocylone!$J$3:$J$5</c:f>
              <c:numCache>
                <c:formatCode>General</c:formatCode>
                <c:ptCount val="3"/>
                <c:pt idx="0">
                  <c:v>66.5</c:v>
                </c:pt>
                <c:pt idx="1">
                  <c:v>76.5</c:v>
                </c:pt>
                <c:pt idx="2" formatCode="0.0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66-4469-8E25-92A6BBE4B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0281855"/>
        <c:axId val="1510282335"/>
      </c:barChart>
      <c:catAx>
        <c:axId val="1510281855"/>
        <c:scaling>
          <c:orientation val="minMax"/>
        </c:scaling>
        <c:delete val="0"/>
        <c:axPos val="l"/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10282335"/>
        <c:crosses val="autoZero"/>
        <c:auto val="1"/>
        <c:lblAlgn val="ctr"/>
        <c:lblOffset val="100"/>
        <c:noMultiLvlLbl val="0"/>
      </c:catAx>
      <c:valAx>
        <c:axId val="1510282335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10281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Electrostatic Field Separator Deflection Profiles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'Electrostatic Field Sep'!$D$3</c:f>
              <c:strCache>
                <c:ptCount val="1"/>
                <c:pt idx="0">
                  <c:v>Mass (g)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'Electrostatic Field Sep'!$C$4:$C$11</c:f>
              <c:strCache>
                <c:ptCount val="8"/>
                <c:pt idx="0">
                  <c:v>N4</c:v>
                </c:pt>
                <c:pt idx="1">
                  <c:v>N3</c:v>
                </c:pt>
                <c:pt idx="2">
                  <c:v>N2</c:v>
                </c:pt>
                <c:pt idx="3">
                  <c:v>N1</c:v>
                </c:pt>
                <c:pt idx="4">
                  <c:v>0</c:v>
                </c:pt>
                <c:pt idx="5">
                  <c:v>P1</c:v>
                </c:pt>
                <c:pt idx="6">
                  <c:v>P2</c:v>
                </c:pt>
                <c:pt idx="7">
                  <c:v>P3</c:v>
                </c:pt>
              </c:strCache>
            </c:strRef>
          </c:cat>
          <c:val>
            <c:numRef>
              <c:f>'Electrostatic Field Sep'!$D$4:$D$11</c:f>
              <c:numCache>
                <c:formatCode>General</c:formatCode>
                <c:ptCount val="8"/>
                <c:pt idx="0">
                  <c:v>3.3000000000000002E-2</c:v>
                </c:pt>
                <c:pt idx="1">
                  <c:v>0.28399999999999997</c:v>
                </c:pt>
                <c:pt idx="2">
                  <c:v>0.72</c:v>
                </c:pt>
                <c:pt idx="3">
                  <c:v>2.7719999999999998</c:v>
                </c:pt>
                <c:pt idx="4">
                  <c:v>4.2489999999999997</c:v>
                </c:pt>
                <c:pt idx="5">
                  <c:v>1.486</c:v>
                </c:pt>
                <c:pt idx="6">
                  <c:v>0.76300000000000001</c:v>
                </c:pt>
                <c:pt idx="7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5D-4D42-981B-4FA6BD14460C}"/>
            </c:ext>
          </c:extLst>
        </c:ser>
        <c:ser>
          <c:idx val="1"/>
          <c:order val="1"/>
          <c:tx>
            <c:strRef>
              <c:f>'Electrostatic Field Sep'!$F$3</c:f>
              <c:strCache>
                <c:ptCount val="1"/>
                <c:pt idx="0">
                  <c:v>Position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'Electrostatic Field Sep'!$C$4:$C$11</c:f>
              <c:strCache>
                <c:ptCount val="8"/>
                <c:pt idx="0">
                  <c:v>N4</c:v>
                </c:pt>
                <c:pt idx="1">
                  <c:v>N3</c:v>
                </c:pt>
                <c:pt idx="2">
                  <c:v>N2</c:v>
                </c:pt>
                <c:pt idx="3">
                  <c:v>N1</c:v>
                </c:pt>
                <c:pt idx="4">
                  <c:v>0</c:v>
                </c:pt>
                <c:pt idx="5">
                  <c:v>P1</c:v>
                </c:pt>
                <c:pt idx="6">
                  <c:v>P2</c:v>
                </c:pt>
                <c:pt idx="7">
                  <c:v>P3</c:v>
                </c:pt>
              </c:strCache>
            </c:strRef>
          </c:cat>
          <c:val>
            <c:numRef>
              <c:f>'Electrostatic Field Sep'!$F$4:$F$11</c:f>
              <c:numCache>
                <c:formatCode>General</c:formatCode>
                <c:ptCount val="8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5D-4D42-981B-4FA6BD14460C}"/>
            </c:ext>
          </c:extLst>
        </c:ser>
        <c:ser>
          <c:idx val="2"/>
          <c:order val="2"/>
          <c:tx>
            <c:strRef>
              <c:f>'Electrostatic Field Sep'!$G$3</c:f>
              <c:strCache>
                <c:ptCount val="1"/>
                <c:pt idx="0">
                  <c:v>Mass (g)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'Electrostatic Field Sep'!$C$4:$C$11</c:f>
              <c:strCache>
                <c:ptCount val="8"/>
                <c:pt idx="0">
                  <c:v>N4</c:v>
                </c:pt>
                <c:pt idx="1">
                  <c:v>N3</c:v>
                </c:pt>
                <c:pt idx="2">
                  <c:v>N2</c:v>
                </c:pt>
                <c:pt idx="3">
                  <c:v>N1</c:v>
                </c:pt>
                <c:pt idx="4">
                  <c:v>0</c:v>
                </c:pt>
                <c:pt idx="5">
                  <c:v>P1</c:v>
                </c:pt>
                <c:pt idx="6">
                  <c:v>P2</c:v>
                </c:pt>
                <c:pt idx="7">
                  <c:v>P3</c:v>
                </c:pt>
              </c:strCache>
            </c:strRef>
          </c:cat>
          <c:val>
            <c:numRef>
              <c:f>'Electrostatic Field Sep'!$G$4:$G$11</c:f>
              <c:numCache>
                <c:formatCode>General</c:formatCode>
                <c:ptCount val="8"/>
                <c:pt idx="1">
                  <c:v>6.0999999999999999E-2</c:v>
                </c:pt>
                <c:pt idx="2">
                  <c:v>0.317</c:v>
                </c:pt>
                <c:pt idx="3">
                  <c:v>1.589</c:v>
                </c:pt>
                <c:pt idx="4">
                  <c:v>4.3360000000000003</c:v>
                </c:pt>
                <c:pt idx="5">
                  <c:v>1.496</c:v>
                </c:pt>
                <c:pt idx="6">
                  <c:v>0.27100000000000002</c:v>
                </c:pt>
                <c:pt idx="7">
                  <c:v>9.2999999999999999E-2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5D-4D42-981B-4FA6BD144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055185520"/>
        <c:axId val="1055183120"/>
      </c:barChart>
      <c:catAx>
        <c:axId val="1055185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Position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183120"/>
        <c:crosses val="autoZero"/>
        <c:auto val="1"/>
        <c:lblAlgn val="ctr"/>
        <c:lblOffset val="100"/>
        <c:noMultiLvlLbl val="0"/>
      </c:catAx>
      <c:valAx>
        <c:axId val="105518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Mass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18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Extraction Yield</a:t>
            </a:r>
            <a:r>
              <a:rPr lang="en-GB" baseline="0"/>
              <a:t>s: Ionic Liquid Screener (ICP-MS)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1036183813644207"/>
          <c:y val="0.12965040523750831"/>
          <c:w val="0.84669521435124406"/>
          <c:h val="0.69842573086152127"/>
        </c:manualLayout>
      </c:layout>
      <c:barChart>
        <c:barDir val="col"/>
        <c:grouping val="clustered"/>
        <c:varyColors val="0"/>
        <c:ser>
          <c:idx val="0"/>
          <c:order val="0"/>
          <c:tx>
            <c:v>Cu</c:v>
          </c:tx>
          <c:spPr>
            <a:solidFill>
              <a:srgbClr val="D63636"/>
            </a:solidFill>
            <a:ln>
              <a:noFill/>
            </a:ln>
            <a:effectLst/>
          </c:spPr>
          <c:invertIfNegative val="0"/>
          <c:cat>
            <c:strRef>
              <c:f>'Ionic Liquid Screener'!$D$4:$D$13</c:f>
              <c:strCache>
                <c:ptCount val="10"/>
                <c:pt idx="0">
                  <c:v>[Bmim][Cl] </c:v>
                </c:pt>
                <c:pt idx="1">
                  <c:v>[Hmim] [HSO4]</c:v>
                </c:pt>
                <c:pt idx="2">
                  <c:v>[Hmim] [Cl]</c:v>
                </c:pt>
                <c:pt idx="3">
                  <c:v>[Hmim] [HSO4] + 1.5% acid</c:v>
                </c:pt>
                <c:pt idx="4">
                  <c:v>[Hmim] [Cl] + 1.5% acid</c:v>
                </c:pt>
                <c:pt idx="5">
                  <c:v>BTEA + 1.5% acid</c:v>
                </c:pt>
                <c:pt idx="6">
                  <c:v>[b4mpy] [Cl]</c:v>
                </c:pt>
                <c:pt idx="7">
                  <c:v>BTEA</c:v>
                </c:pt>
                <c:pt idx="8">
                  <c:v>[Bmim] [Cl] + 1.5% acid</c:v>
                </c:pt>
                <c:pt idx="9">
                  <c:v>[b4mpy] [Cl] + 1.5% acid</c:v>
                </c:pt>
              </c:strCache>
            </c:strRef>
          </c:cat>
          <c:val>
            <c:numRef>
              <c:f>'Ionic Liquid Screener'!$J$4:$J$13</c:f>
              <c:numCache>
                <c:formatCode>0%</c:formatCode>
                <c:ptCount val="10"/>
                <c:pt idx="0">
                  <c:v>0.73</c:v>
                </c:pt>
                <c:pt idx="1">
                  <c:v>1</c:v>
                </c:pt>
                <c:pt idx="2">
                  <c:v>0.65</c:v>
                </c:pt>
                <c:pt idx="3">
                  <c:v>0.64</c:v>
                </c:pt>
                <c:pt idx="4">
                  <c:v>0.83</c:v>
                </c:pt>
                <c:pt idx="5">
                  <c:v>0.78</c:v>
                </c:pt>
                <c:pt idx="6">
                  <c:v>0.3</c:v>
                </c:pt>
                <c:pt idx="7">
                  <c:v>0.28999999999999998</c:v>
                </c:pt>
                <c:pt idx="8">
                  <c:v>0.67</c:v>
                </c:pt>
                <c:pt idx="9">
                  <c:v>0.55000000000000004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FA-45C1-A2A8-86642A5629EA}"/>
            </c:ext>
          </c:extLst>
        </c:ser>
        <c:ser>
          <c:idx val="1"/>
          <c:order val="1"/>
          <c:tx>
            <c:v>Ag</c:v>
          </c:tx>
          <c:spPr>
            <a:solidFill>
              <a:srgbClr val="4F81BD"/>
            </a:solidFill>
            <a:ln>
              <a:noFill/>
            </a:ln>
            <a:effectLst/>
          </c:spPr>
          <c:invertIfNegative val="0"/>
          <c:cat>
            <c:strRef>
              <c:f>'Ionic Liquid Screener'!$D$4:$D$13</c:f>
              <c:strCache>
                <c:ptCount val="10"/>
                <c:pt idx="0">
                  <c:v>[Bmim][Cl] </c:v>
                </c:pt>
                <c:pt idx="1">
                  <c:v>[Hmim] [HSO4]</c:v>
                </c:pt>
                <c:pt idx="2">
                  <c:v>[Hmim] [Cl]</c:v>
                </c:pt>
                <c:pt idx="3">
                  <c:v>[Hmim] [HSO4] + 1.5% acid</c:v>
                </c:pt>
                <c:pt idx="4">
                  <c:v>[Hmim] [Cl] + 1.5% acid</c:v>
                </c:pt>
                <c:pt idx="5">
                  <c:v>BTEA + 1.5% acid</c:v>
                </c:pt>
                <c:pt idx="6">
                  <c:v>[b4mpy] [Cl]</c:v>
                </c:pt>
                <c:pt idx="7">
                  <c:v>BTEA</c:v>
                </c:pt>
                <c:pt idx="8">
                  <c:v>[Bmim] [Cl] + 1.5% acid</c:v>
                </c:pt>
                <c:pt idx="9">
                  <c:v>[b4mpy] [Cl] + 1.5% acid</c:v>
                </c:pt>
              </c:strCache>
            </c:strRef>
          </c:cat>
          <c:val>
            <c:numRef>
              <c:f>'Ionic Liquid Screener'!$L$4:$L$13</c:f>
              <c:numCache>
                <c:formatCode>0%</c:formatCode>
                <c:ptCount val="10"/>
                <c:pt idx="0">
                  <c:v>0.2</c:v>
                </c:pt>
                <c:pt idx="1">
                  <c:v>0.35</c:v>
                </c:pt>
                <c:pt idx="2">
                  <c:v>0.27</c:v>
                </c:pt>
                <c:pt idx="3">
                  <c:v>0.3</c:v>
                </c:pt>
                <c:pt idx="4">
                  <c:v>0.5</c:v>
                </c:pt>
                <c:pt idx="5">
                  <c:v>0.53</c:v>
                </c:pt>
                <c:pt idx="6">
                  <c:v>0.22</c:v>
                </c:pt>
                <c:pt idx="7">
                  <c:v>0.22</c:v>
                </c:pt>
                <c:pt idx="8">
                  <c:v>0.52</c:v>
                </c:pt>
                <c:pt idx="9">
                  <c:v>0.63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FA-45C1-A2A8-86642A562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5741535"/>
        <c:axId val="405739615"/>
      </c:barChart>
      <c:catAx>
        <c:axId val="4057415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Ionic Liquid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739615"/>
        <c:crosses val="autoZero"/>
        <c:auto val="1"/>
        <c:lblAlgn val="ctr"/>
        <c:lblOffset val="100"/>
        <c:noMultiLvlLbl val="0"/>
      </c:catAx>
      <c:valAx>
        <c:axId val="40573961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Extraction 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741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5930036808899424"/>
          <c:y val="0.13575607911310703"/>
          <c:w val="9.1147866216580317E-2"/>
          <c:h val="5.89880264605808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 &amp;</a:t>
            </a:r>
            <a:r>
              <a:rPr lang="en-GB" baseline="0"/>
              <a:t> Ag </a:t>
            </a:r>
            <a:r>
              <a:rPr lang="en-GB"/>
              <a:t>Extraction Yield</a:t>
            </a:r>
            <a:r>
              <a:rPr lang="en-GB" baseline="0"/>
              <a:t>s: Ionic Liquid Screener (ICP-MS)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6.8774171545445906E-2"/>
          <c:y val="0.12965037132334922"/>
          <c:w val="0.88982311231509303"/>
          <c:h val="0.73622381346470522"/>
        </c:manualLayout>
      </c:layout>
      <c:barChart>
        <c:barDir val="col"/>
        <c:grouping val="clustered"/>
        <c:varyColors val="0"/>
        <c:ser>
          <c:idx val="0"/>
          <c:order val="0"/>
          <c:tx>
            <c:v>Cu</c:v>
          </c:tx>
          <c:spPr>
            <a:solidFill>
              <a:srgbClr val="D63636"/>
            </a:solidFill>
            <a:ln>
              <a:noFill/>
            </a:ln>
            <a:effectLst/>
          </c:spPr>
          <c:invertIfNegative val="0"/>
          <c:cat>
            <c:strRef>
              <c:f>'Ionic Liquid Screener (2)'!$D$4:$D$13</c:f>
              <c:strCache>
                <c:ptCount val="10"/>
                <c:pt idx="0">
                  <c:v>[Bmim][Cl] </c:v>
                </c:pt>
                <c:pt idx="1">
                  <c:v>[Bmim][Cl] + 1.5% acid</c:v>
                </c:pt>
                <c:pt idx="2">
                  <c:v>[Hmim][HSO4]</c:v>
                </c:pt>
                <c:pt idx="3">
                  <c:v>[Hmim][HSO4] + 1.5% acid</c:v>
                </c:pt>
                <c:pt idx="4">
                  <c:v>[Hmim][Cl]</c:v>
                </c:pt>
                <c:pt idx="5">
                  <c:v>[Hmim][Cl] + 1.5% acid</c:v>
                </c:pt>
                <c:pt idx="6">
                  <c:v>BTEA</c:v>
                </c:pt>
                <c:pt idx="7">
                  <c:v>BTEA + 1.5% acid</c:v>
                </c:pt>
                <c:pt idx="8">
                  <c:v>[b4mpy][Cl]</c:v>
                </c:pt>
                <c:pt idx="9">
                  <c:v>[b4mpy][Cl] + 1.5% acid</c:v>
                </c:pt>
              </c:strCache>
            </c:strRef>
          </c:cat>
          <c:val>
            <c:numRef>
              <c:f>'Ionic Liquid Screener (2)'!$J$4:$J$13</c:f>
              <c:numCache>
                <c:formatCode>0%</c:formatCode>
                <c:ptCount val="10"/>
                <c:pt idx="0">
                  <c:v>0.73</c:v>
                </c:pt>
                <c:pt idx="1">
                  <c:v>0.67</c:v>
                </c:pt>
                <c:pt idx="2">
                  <c:v>1</c:v>
                </c:pt>
                <c:pt idx="3">
                  <c:v>0.64</c:v>
                </c:pt>
                <c:pt idx="4">
                  <c:v>0.65</c:v>
                </c:pt>
                <c:pt idx="5">
                  <c:v>0.83</c:v>
                </c:pt>
                <c:pt idx="6">
                  <c:v>0.28999999999999998</c:v>
                </c:pt>
                <c:pt idx="7">
                  <c:v>0.78</c:v>
                </c:pt>
                <c:pt idx="8">
                  <c:v>0.3</c:v>
                </c:pt>
                <c:pt idx="9">
                  <c:v>0.55000000000000004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65-4CD6-8EE1-5B27563578DD}"/>
            </c:ext>
          </c:extLst>
        </c:ser>
        <c:ser>
          <c:idx val="1"/>
          <c:order val="1"/>
          <c:tx>
            <c:v>Ag</c:v>
          </c:tx>
          <c:spPr>
            <a:solidFill>
              <a:srgbClr val="4F81BD"/>
            </a:solidFill>
            <a:ln>
              <a:noFill/>
            </a:ln>
            <a:effectLst/>
          </c:spPr>
          <c:invertIfNegative val="0"/>
          <c:cat>
            <c:strRef>
              <c:f>'Ionic Liquid Screener (2)'!$D$4:$D$13</c:f>
              <c:strCache>
                <c:ptCount val="10"/>
                <c:pt idx="0">
                  <c:v>[Bmim][Cl] </c:v>
                </c:pt>
                <c:pt idx="1">
                  <c:v>[Bmim][Cl] + 1.5% acid</c:v>
                </c:pt>
                <c:pt idx="2">
                  <c:v>[Hmim][HSO4]</c:v>
                </c:pt>
                <c:pt idx="3">
                  <c:v>[Hmim][HSO4] + 1.5% acid</c:v>
                </c:pt>
                <c:pt idx="4">
                  <c:v>[Hmim][Cl]</c:v>
                </c:pt>
                <c:pt idx="5">
                  <c:v>[Hmim][Cl] + 1.5% acid</c:v>
                </c:pt>
                <c:pt idx="6">
                  <c:v>BTEA</c:v>
                </c:pt>
                <c:pt idx="7">
                  <c:v>BTEA + 1.5% acid</c:v>
                </c:pt>
                <c:pt idx="8">
                  <c:v>[b4mpy][Cl]</c:v>
                </c:pt>
                <c:pt idx="9">
                  <c:v>[b4mpy][Cl] + 1.5% acid</c:v>
                </c:pt>
              </c:strCache>
            </c:strRef>
          </c:cat>
          <c:val>
            <c:numRef>
              <c:f>'Ionic Liquid Screener (2)'!$L$4:$L$13</c:f>
              <c:numCache>
                <c:formatCode>0%</c:formatCode>
                <c:ptCount val="10"/>
                <c:pt idx="0">
                  <c:v>0.2</c:v>
                </c:pt>
                <c:pt idx="1">
                  <c:v>0.52</c:v>
                </c:pt>
                <c:pt idx="2">
                  <c:v>0.35</c:v>
                </c:pt>
                <c:pt idx="3">
                  <c:v>0.3</c:v>
                </c:pt>
                <c:pt idx="4">
                  <c:v>0.27</c:v>
                </c:pt>
                <c:pt idx="5">
                  <c:v>0.5</c:v>
                </c:pt>
                <c:pt idx="6">
                  <c:v>0.22</c:v>
                </c:pt>
                <c:pt idx="7">
                  <c:v>0.53</c:v>
                </c:pt>
                <c:pt idx="8">
                  <c:v>0.22</c:v>
                </c:pt>
                <c:pt idx="9">
                  <c:v>0.63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65-4CD6-8EE1-5B2756357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5741535"/>
        <c:axId val="405739615"/>
      </c:barChart>
      <c:catAx>
        <c:axId val="4057415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Ionic Liquid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739615"/>
        <c:crosses val="autoZero"/>
        <c:auto val="1"/>
        <c:lblAlgn val="ctr"/>
        <c:lblOffset val="100"/>
        <c:noMultiLvlLbl val="0"/>
      </c:catAx>
      <c:valAx>
        <c:axId val="40573961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Extraction Yield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741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5930036808899424"/>
          <c:y val="0.13575607911310703"/>
          <c:w val="9.1147866216580317E-2"/>
          <c:h val="5.89880264605808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327024</xdr:colOff>
      <xdr:row>5</xdr:row>
      <xdr:rowOff>171450</xdr:rowOff>
    </xdr:from>
    <xdr:to>
      <xdr:col>12</xdr:col>
      <xdr:colOff>44450</xdr:colOff>
      <xdr:row>30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D242B1-F6D8-4725-D98B-25BC24B4CC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415924</xdr:colOff>
      <xdr:row>3</xdr:row>
      <xdr:rowOff>142874</xdr:rowOff>
    </xdr:from>
    <xdr:to>
      <xdr:col>18</xdr:col>
      <xdr:colOff>584199</xdr:colOff>
      <xdr:row>26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DB5D02-0428-2FDC-F309-EA42A62623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214922</xdr:colOff>
      <xdr:row>3</xdr:row>
      <xdr:rowOff>157285</xdr:rowOff>
    </xdr:from>
    <xdr:to>
      <xdr:col>13</xdr:col>
      <xdr:colOff>229576</xdr:colOff>
      <xdr:row>25</xdr:row>
      <xdr:rowOff>14654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F36470-9B30-AED6-B45C-6F6718269D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1013558</xdr:colOff>
      <xdr:row>14</xdr:row>
      <xdr:rowOff>100377</xdr:rowOff>
    </xdr:from>
    <xdr:to>
      <xdr:col>9</xdr:col>
      <xdr:colOff>375384</xdr:colOff>
      <xdr:row>41</xdr:row>
      <xdr:rowOff>131884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53508D-8BD1-4AE6-B21A-18524C868B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0AA61-0057-4820-8D73-663AC9133CDF}">
  <dimension ref="B3:N11"/>
  <sheetViews>
    <sheetView workbookViewId="0">
      <selection activeCell="G30" sqref="G30"/>
    </sheetView>
  </sheetViews>
  <sheetFormatPr defaultRowHeight="14.5" x14ac:dyDescent="0.35"/>
  <cols>
    <col min="3" max="3" width="14.1796875" bestFit="1" customWidth="1"/>
    <col min="11" max="11" width="14.1796875" bestFit="1" customWidth="1"/>
  </cols>
  <sheetData>
    <row r="3" spans="2:14" x14ac:dyDescent="0.35">
      <c r="B3" s="4" t="s">
        <v>8</v>
      </c>
      <c r="C3" s="4"/>
      <c r="D3" s="4"/>
      <c r="E3" s="4"/>
      <c r="F3" s="4"/>
      <c r="G3" s="4"/>
      <c r="H3" s="4"/>
      <c r="I3" s="4"/>
      <c r="J3" s="4" t="s">
        <v>9</v>
      </c>
      <c r="K3" s="4"/>
      <c r="L3" s="4"/>
      <c r="M3" s="4"/>
      <c r="N3" s="4"/>
    </row>
    <row r="4" spans="2:14" x14ac:dyDescent="0.35">
      <c r="B4" s="4"/>
      <c r="C4" s="4"/>
      <c r="D4" s="5">
        <v>1</v>
      </c>
      <c r="E4" s="5">
        <v>2</v>
      </c>
      <c r="F4" s="5">
        <v>3</v>
      </c>
      <c r="G4" s="4"/>
      <c r="H4" s="4"/>
      <c r="I4" s="4"/>
      <c r="J4" s="4"/>
      <c r="K4" s="4"/>
      <c r="L4" s="4">
        <v>1</v>
      </c>
      <c r="M4" s="4">
        <v>2</v>
      </c>
      <c r="N4" s="4">
        <v>3</v>
      </c>
    </row>
    <row r="5" spans="2:14" x14ac:dyDescent="0.35">
      <c r="B5" s="27" t="s">
        <v>1</v>
      </c>
      <c r="C5" s="6" t="s">
        <v>5</v>
      </c>
      <c r="D5" s="6">
        <f>100.861/1000</f>
        <v>0.10086100000000001</v>
      </c>
      <c r="E5" s="6">
        <f>100.1/1000</f>
        <v>0.10009999999999999</v>
      </c>
      <c r="F5" s="6">
        <f>100.865/1000</f>
        <v>0.100865</v>
      </c>
      <c r="G5" s="4"/>
      <c r="H5" s="4"/>
      <c r="I5" s="4"/>
      <c r="J5" s="27" t="s">
        <v>1</v>
      </c>
      <c r="K5" s="6" t="s">
        <v>5</v>
      </c>
      <c r="L5" s="6">
        <v>0.10000100000000001</v>
      </c>
      <c r="M5" s="6">
        <v>9.9998000000000004E-2</v>
      </c>
      <c r="N5" s="6">
        <v>0.10000100000000001</v>
      </c>
    </row>
    <row r="6" spans="2:14" x14ac:dyDescent="0.35">
      <c r="B6" s="27"/>
      <c r="C6" s="6" t="s">
        <v>7</v>
      </c>
      <c r="D6" s="6">
        <f>125/1000000</f>
        <v>1.25E-4</v>
      </c>
      <c r="E6" s="6">
        <f>120/1000000</f>
        <v>1.2E-4</v>
      </c>
      <c r="F6" s="6">
        <f>124/1000000</f>
        <v>1.2400000000000001E-4</v>
      </c>
      <c r="G6" s="4"/>
      <c r="H6" s="4"/>
      <c r="I6" s="4"/>
      <c r="J6" s="27"/>
      <c r="K6" s="6" t="s">
        <v>7</v>
      </c>
      <c r="L6" s="6">
        <v>1.8000000000000001E-4</v>
      </c>
      <c r="M6" s="6">
        <v>1.8100000000000001E-4</v>
      </c>
      <c r="N6" s="6">
        <v>1.76E-4</v>
      </c>
    </row>
    <row r="7" spans="2:14" x14ac:dyDescent="0.35">
      <c r="B7" s="27"/>
      <c r="C7" s="6" t="s">
        <v>4</v>
      </c>
      <c r="D7" s="6">
        <f>D5/D6</f>
        <v>806.88800000000003</v>
      </c>
      <c r="E7" s="6">
        <f>E5/E6</f>
        <v>834.16666666666663</v>
      </c>
      <c r="F7" s="6">
        <f>F5/F6</f>
        <v>813.42741935483866</v>
      </c>
      <c r="G7" s="4"/>
      <c r="H7" s="4"/>
      <c r="I7" s="4"/>
      <c r="J7" s="27"/>
      <c r="K7" s="6" t="s">
        <v>4</v>
      </c>
      <c r="L7" s="6">
        <v>555.56111111111113</v>
      </c>
      <c r="M7" s="6">
        <v>552.47513812154693</v>
      </c>
      <c r="N7" s="6">
        <v>568.1875</v>
      </c>
    </row>
    <row r="8" spans="2:14" x14ac:dyDescent="0.35">
      <c r="B8" s="7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2:14" x14ac:dyDescent="0.35">
      <c r="B9" s="28" t="s">
        <v>2</v>
      </c>
      <c r="C9" s="6" t="s">
        <v>5</v>
      </c>
      <c r="D9" s="6">
        <f>100.861/1000</f>
        <v>0.10086100000000001</v>
      </c>
      <c r="E9" s="6">
        <f>100.1/1000</f>
        <v>0.10009999999999999</v>
      </c>
      <c r="F9" s="6">
        <f>100.865/1000</f>
        <v>0.100865</v>
      </c>
      <c r="G9" s="4"/>
      <c r="H9" s="4"/>
      <c r="I9" s="4"/>
      <c r="J9" s="27" t="s">
        <v>2</v>
      </c>
      <c r="K9" s="6" t="s">
        <v>5</v>
      </c>
      <c r="L9" s="6">
        <v>0.10000100000000001</v>
      </c>
      <c r="M9" s="6">
        <v>9.9998000000000004E-2</v>
      </c>
      <c r="N9" s="6">
        <v>0.10000100000000001</v>
      </c>
    </row>
    <row r="10" spans="2:14" x14ac:dyDescent="0.35">
      <c r="B10" s="28"/>
      <c r="C10" s="6" t="s">
        <v>7</v>
      </c>
      <c r="D10" s="6">
        <f>98/1000000</f>
        <v>9.7999999999999997E-5</v>
      </c>
      <c r="E10" s="6">
        <f>94/1000000</f>
        <v>9.3999999999999994E-5</v>
      </c>
      <c r="F10" s="6">
        <f>94/1000000</f>
        <v>9.3999999999999994E-5</v>
      </c>
      <c r="G10" s="4"/>
      <c r="H10" s="4"/>
      <c r="I10" s="4"/>
      <c r="J10" s="27"/>
      <c r="K10" s="6" t="s">
        <v>7</v>
      </c>
      <c r="L10" s="6">
        <v>1.56E-4</v>
      </c>
      <c r="M10" s="6">
        <v>1.5899999999999999E-4</v>
      </c>
      <c r="N10" s="6">
        <v>1.56E-4</v>
      </c>
    </row>
    <row r="11" spans="2:14" x14ac:dyDescent="0.35">
      <c r="B11" s="28"/>
      <c r="C11" s="6" t="s">
        <v>4</v>
      </c>
      <c r="D11" s="6">
        <f>D9/D10</f>
        <v>1029.1938775510205</v>
      </c>
      <c r="E11" s="6">
        <f>E9/E10</f>
        <v>1064.8936170212767</v>
      </c>
      <c r="F11" s="6">
        <f>F9/F10</f>
        <v>1073.0319148936171</v>
      </c>
      <c r="G11" s="4"/>
      <c r="H11" s="4"/>
      <c r="I11" s="4"/>
      <c r="J11" s="27"/>
      <c r="K11" s="6" t="s">
        <v>4</v>
      </c>
      <c r="L11" s="6">
        <v>641.03205128205138</v>
      </c>
      <c r="M11" s="6">
        <v>628.9182389937107</v>
      </c>
      <c r="N11" s="6">
        <v>641.03205128205138</v>
      </c>
    </row>
  </sheetData>
  <mergeCells count="4">
    <mergeCell ref="B5:B7"/>
    <mergeCell ref="B9:B11"/>
    <mergeCell ref="J5:J7"/>
    <mergeCell ref="J9:J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FD64C-F927-4DC9-9F3B-47BC96355AFF}">
  <dimension ref="B2:F10"/>
  <sheetViews>
    <sheetView workbookViewId="0">
      <selection activeCell="B2" sqref="B2:F10"/>
    </sheetView>
  </sheetViews>
  <sheetFormatPr defaultRowHeight="14.5" x14ac:dyDescent="0.35"/>
  <cols>
    <col min="3" max="3" width="13.6328125" bestFit="1" customWidth="1"/>
    <col min="4" max="4" width="9.6328125" customWidth="1"/>
  </cols>
  <sheetData>
    <row r="2" spans="2:6" x14ac:dyDescent="0.35">
      <c r="B2" t="s">
        <v>0</v>
      </c>
    </row>
    <row r="3" spans="2:6" x14ac:dyDescent="0.35">
      <c r="D3" s="2">
        <v>1</v>
      </c>
      <c r="E3" s="2">
        <v>2</v>
      </c>
      <c r="F3" s="2">
        <v>3</v>
      </c>
    </row>
    <row r="4" spans="2:6" x14ac:dyDescent="0.35">
      <c r="B4" s="29" t="s">
        <v>1</v>
      </c>
      <c r="C4" s="1" t="s">
        <v>5</v>
      </c>
      <c r="D4" s="1">
        <f>100.861/1000</f>
        <v>0.10086100000000001</v>
      </c>
      <c r="E4" s="1">
        <f>100.1/1000</f>
        <v>0.10009999999999999</v>
      </c>
      <c r="F4" s="1">
        <f>100.865/1000</f>
        <v>0.100865</v>
      </c>
    </row>
    <row r="5" spans="2:6" x14ac:dyDescent="0.35">
      <c r="B5" s="29"/>
      <c r="C5" s="1" t="s">
        <v>3</v>
      </c>
      <c r="D5" s="1">
        <f>125/1000000</f>
        <v>1.25E-4</v>
      </c>
      <c r="E5" s="1">
        <f>120/1000000</f>
        <v>1.2E-4</v>
      </c>
      <c r="F5" s="1">
        <f>124/1000000</f>
        <v>1.2400000000000001E-4</v>
      </c>
    </row>
    <row r="6" spans="2:6" x14ac:dyDescent="0.35">
      <c r="B6" s="29"/>
      <c r="C6" s="1" t="s">
        <v>4</v>
      </c>
      <c r="D6" s="1">
        <f>D4/D5</f>
        <v>806.88800000000003</v>
      </c>
      <c r="E6" s="1">
        <f>E4/E5</f>
        <v>834.16666666666663</v>
      </c>
      <c r="F6" s="1">
        <f>F4/F5</f>
        <v>813.42741935483866</v>
      </c>
    </row>
    <row r="7" spans="2:6" ht="3" customHeight="1" x14ac:dyDescent="0.35">
      <c r="B7" s="3"/>
    </row>
    <row r="8" spans="2:6" x14ac:dyDescent="0.35">
      <c r="B8" s="30" t="s">
        <v>2</v>
      </c>
      <c r="C8" s="1" t="s">
        <v>5</v>
      </c>
      <c r="D8" s="1">
        <f>100.861/1000</f>
        <v>0.10086100000000001</v>
      </c>
      <c r="E8" s="1">
        <f>100.1/1000</f>
        <v>0.10009999999999999</v>
      </c>
      <c r="F8" s="1">
        <f>100.865/1000</f>
        <v>0.100865</v>
      </c>
    </row>
    <row r="9" spans="2:6" x14ac:dyDescent="0.35">
      <c r="B9" s="30"/>
      <c r="C9" s="1" t="s">
        <v>3</v>
      </c>
      <c r="D9" s="1">
        <f>98/1000000</f>
        <v>9.7999999999999997E-5</v>
      </c>
      <c r="E9" s="1">
        <f>94/1000000</f>
        <v>9.3999999999999994E-5</v>
      </c>
      <c r="F9" s="1">
        <f>94/1000000</f>
        <v>9.3999999999999994E-5</v>
      </c>
    </row>
    <row r="10" spans="2:6" x14ac:dyDescent="0.35">
      <c r="B10" s="30"/>
      <c r="C10" s="1" t="s">
        <v>4</v>
      </c>
      <c r="D10" s="1">
        <f>D8/D9</f>
        <v>1029.1938775510205</v>
      </c>
      <c r="E10" s="1">
        <f>E8/E9</f>
        <v>1064.8936170212767</v>
      </c>
      <c r="F10" s="1">
        <f>F8/F9</f>
        <v>1073.0319148936171</v>
      </c>
    </row>
  </sheetData>
  <mergeCells count="2">
    <mergeCell ref="B4:B6"/>
    <mergeCell ref="B8:B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F5970-FF38-4D8E-A02C-3B33A09E6A41}">
  <dimension ref="B2:M10"/>
  <sheetViews>
    <sheetView workbookViewId="0">
      <selection activeCell="D9" sqref="D9"/>
    </sheetView>
  </sheetViews>
  <sheetFormatPr defaultRowHeight="14.5" x14ac:dyDescent="0.35"/>
  <cols>
    <col min="3" max="3" width="14.1796875" bestFit="1" customWidth="1"/>
    <col min="4" max="4" width="10.453125" customWidth="1"/>
    <col min="5" max="6" width="10.7265625" customWidth="1"/>
    <col min="10" max="10" width="14.1796875" bestFit="1" customWidth="1"/>
  </cols>
  <sheetData>
    <row r="2" spans="2:13" x14ac:dyDescent="0.35">
      <c r="B2" t="s">
        <v>0</v>
      </c>
      <c r="I2" t="s">
        <v>0</v>
      </c>
    </row>
    <row r="3" spans="2:13" x14ac:dyDescent="0.35">
      <c r="D3" s="2">
        <v>1</v>
      </c>
      <c r="E3" s="2">
        <v>2</v>
      </c>
      <c r="F3" s="2">
        <v>3</v>
      </c>
      <c r="K3" s="2">
        <v>1</v>
      </c>
      <c r="L3" s="2">
        <v>2</v>
      </c>
      <c r="M3" s="2">
        <v>3</v>
      </c>
    </row>
    <row r="4" spans="2:13" x14ac:dyDescent="0.35">
      <c r="B4" s="29" t="s">
        <v>1</v>
      </c>
      <c r="C4" s="1" t="s">
        <v>6</v>
      </c>
      <c r="D4" s="1">
        <v>100.001</v>
      </c>
      <c r="E4" s="1">
        <v>99.998000000000005</v>
      </c>
      <c r="F4" s="1">
        <v>100.001</v>
      </c>
      <c r="I4" s="29" t="s">
        <v>1</v>
      </c>
      <c r="J4" s="1" t="s">
        <v>5</v>
      </c>
      <c r="K4" s="1">
        <f>D4/1000</f>
        <v>0.10000100000000001</v>
      </c>
      <c r="L4" s="1">
        <f t="shared" ref="L4:M4" si="0">E4/1000</f>
        <v>9.9998000000000004E-2</v>
      </c>
      <c r="M4" s="1">
        <f t="shared" si="0"/>
        <v>0.10000100000000001</v>
      </c>
    </row>
    <row r="5" spans="2:13" x14ac:dyDescent="0.35">
      <c r="B5" s="29"/>
      <c r="C5" s="1" t="s">
        <v>3</v>
      </c>
      <c r="D5" s="1">
        <v>180</v>
      </c>
      <c r="E5" s="1">
        <v>181</v>
      </c>
      <c r="F5" s="1">
        <v>176</v>
      </c>
      <c r="I5" s="29"/>
      <c r="J5" s="1" t="s">
        <v>7</v>
      </c>
      <c r="K5" s="1">
        <f>D5/1000000</f>
        <v>1.8000000000000001E-4</v>
      </c>
      <c r="L5" s="1">
        <f t="shared" ref="L5:M5" si="1">E5/1000000</f>
        <v>1.8100000000000001E-4</v>
      </c>
      <c r="M5" s="1">
        <f t="shared" si="1"/>
        <v>1.76E-4</v>
      </c>
    </row>
    <row r="6" spans="2:13" x14ac:dyDescent="0.35">
      <c r="B6" s="29"/>
      <c r="C6" s="1" t="s">
        <v>4</v>
      </c>
      <c r="D6" s="1"/>
      <c r="E6" s="1"/>
      <c r="F6" s="1"/>
      <c r="I6" s="29"/>
      <c r="J6" s="1" t="s">
        <v>4</v>
      </c>
      <c r="K6" s="1">
        <f>K4/K5</f>
        <v>555.56111111111113</v>
      </c>
      <c r="L6" s="1">
        <f t="shared" ref="L6:M6" si="2">L4/L5</f>
        <v>552.47513812154693</v>
      </c>
      <c r="M6" s="1">
        <f t="shared" si="2"/>
        <v>568.1875</v>
      </c>
    </row>
    <row r="7" spans="2:13" x14ac:dyDescent="0.35">
      <c r="B7" s="3"/>
      <c r="I7" s="3"/>
    </row>
    <row r="8" spans="2:13" x14ac:dyDescent="0.35">
      <c r="B8" s="30" t="s">
        <v>2</v>
      </c>
      <c r="C8" s="1" t="s">
        <v>6</v>
      </c>
      <c r="D8" s="1">
        <v>100.001</v>
      </c>
      <c r="E8" s="1">
        <v>99.998000000000005</v>
      </c>
      <c r="F8" s="1">
        <v>100.001</v>
      </c>
      <c r="I8" s="30" t="s">
        <v>2</v>
      </c>
      <c r="J8" s="1" t="s">
        <v>5</v>
      </c>
      <c r="K8" s="1">
        <f>D8/1000</f>
        <v>0.10000100000000001</v>
      </c>
      <c r="L8" s="1">
        <f t="shared" ref="L8:M8" si="3">E8/1000</f>
        <v>9.9998000000000004E-2</v>
      </c>
      <c r="M8" s="1">
        <f t="shared" si="3"/>
        <v>0.10000100000000001</v>
      </c>
    </row>
    <row r="9" spans="2:13" x14ac:dyDescent="0.35">
      <c r="B9" s="30"/>
      <c r="C9" s="1" t="s">
        <v>3</v>
      </c>
      <c r="D9" s="1">
        <v>156</v>
      </c>
      <c r="E9" s="1">
        <v>159</v>
      </c>
      <c r="F9" s="1">
        <v>156</v>
      </c>
      <c r="I9" s="30"/>
      <c r="J9" s="1" t="s">
        <v>7</v>
      </c>
      <c r="K9" s="1">
        <f>D9/1000000</f>
        <v>1.56E-4</v>
      </c>
      <c r="L9" s="1">
        <f t="shared" ref="L9:M9" si="4">E9/1000000</f>
        <v>1.5899999999999999E-4</v>
      </c>
      <c r="M9" s="1">
        <f t="shared" si="4"/>
        <v>1.56E-4</v>
      </c>
    </row>
    <row r="10" spans="2:13" x14ac:dyDescent="0.35">
      <c r="B10" s="30"/>
      <c r="C10" s="1" t="s">
        <v>4</v>
      </c>
      <c r="D10" s="1"/>
      <c r="E10" s="1"/>
      <c r="F10" s="1"/>
      <c r="I10" s="30"/>
      <c r="J10" s="1" t="s">
        <v>4</v>
      </c>
      <c r="K10" s="1">
        <f>K8/K9</f>
        <v>641.03205128205138</v>
      </c>
      <c r="L10" s="1">
        <f t="shared" ref="L10:M10" si="5">L8/L9</f>
        <v>628.9182389937107</v>
      </c>
      <c r="M10" s="1">
        <f t="shared" si="5"/>
        <v>641.03205128205138</v>
      </c>
    </row>
  </sheetData>
  <mergeCells count="4">
    <mergeCell ref="B4:B6"/>
    <mergeCell ref="B8:B10"/>
    <mergeCell ref="I4:I6"/>
    <mergeCell ref="I8:I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6CB12-7FC7-438F-A592-8034E0DF0FDD}">
  <dimension ref="C2:O8"/>
  <sheetViews>
    <sheetView topLeftCell="B1" zoomScaleNormal="100" workbookViewId="0">
      <selection activeCell="N21" sqref="N21"/>
    </sheetView>
  </sheetViews>
  <sheetFormatPr defaultRowHeight="14.5" x14ac:dyDescent="0.35"/>
  <cols>
    <col min="3" max="3" width="17.453125" bestFit="1" customWidth="1"/>
    <col min="4" max="5" width="19.81640625" bestFit="1" customWidth="1"/>
    <col min="6" max="6" width="12.54296875" bestFit="1" customWidth="1"/>
    <col min="7" max="7" width="13.81640625" bestFit="1" customWidth="1"/>
    <col min="10" max="10" width="20.1796875" customWidth="1"/>
    <col min="11" max="11" width="10.1796875" customWidth="1"/>
    <col min="12" max="12" width="17.6328125" customWidth="1"/>
  </cols>
  <sheetData>
    <row r="2" spans="3:15" ht="29.5" customHeight="1" x14ac:dyDescent="0.35">
      <c r="C2" s="8" t="s">
        <v>11</v>
      </c>
      <c r="D2" s="8" t="s">
        <v>12</v>
      </c>
      <c r="E2" s="8" t="s">
        <v>10</v>
      </c>
      <c r="F2" s="8" t="s">
        <v>13</v>
      </c>
      <c r="I2" s="10" t="s">
        <v>11</v>
      </c>
      <c r="J2" s="10" t="s">
        <v>17</v>
      </c>
      <c r="K2" s="10" t="s">
        <v>18</v>
      </c>
      <c r="L2" s="10" t="s">
        <v>19</v>
      </c>
    </row>
    <row r="3" spans="3:15" x14ac:dyDescent="0.35">
      <c r="C3" t="s">
        <v>14</v>
      </c>
      <c r="D3">
        <v>1</v>
      </c>
      <c r="E3">
        <v>65</v>
      </c>
      <c r="F3">
        <v>0.54</v>
      </c>
      <c r="I3" s="11" t="s">
        <v>14</v>
      </c>
      <c r="J3" s="11">
        <v>66.5</v>
      </c>
      <c r="K3" s="11">
        <v>2.12</v>
      </c>
      <c r="L3" s="11">
        <v>0.505</v>
      </c>
    </row>
    <row r="4" spans="3:15" x14ac:dyDescent="0.35">
      <c r="C4" t="s">
        <v>14</v>
      </c>
      <c r="D4">
        <v>2</v>
      </c>
      <c r="E4">
        <v>68</v>
      </c>
      <c r="F4">
        <v>0.47</v>
      </c>
      <c r="I4" s="11" t="s">
        <v>15</v>
      </c>
      <c r="J4" s="11">
        <v>76.5</v>
      </c>
      <c r="K4" s="11">
        <v>2.12</v>
      </c>
      <c r="L4" s="11">
        <v>0.30499999999999999</v>
      </c>
      <c r="M4" s="9"/>
    </row>
    <row r="5" spans="3:15" x14ac:dyDescent="0.35">
      <c r="C5" t="s">
        <v>15</v>
      </c>
      <c r="D5">
        <v>3</v>
      </c>
      <c r="E5">
        <v>75</v>
      </c>
      <c r="F5">
        <v>0.33</v>
      </c>
      <c r="I5" s="11" t="s">
        <v>16</v>
      </c>
      <c r="J5" s="12">
        <v>67</v>
      </c>
      <c r="K5" s="11">
        <v>0</v>
      </c>
      <c r="L5" s="11">
        <v>0.49</v>
      </c>
      <c r="M5" s="9"/>
    </row>
    <row r="6" spans="3:15" x14ac:dyDescent="0.35">
      <c r="C6" t="s">
        <v>15</v>
      </c>
      <c r="D6">
        <v>4</v>
      </c>
      <c r="E6">
        <v>78</v>
      </c>
      <c r="F6">
        <v>0.28000000000000003</v>
      </c>
      <c r="N6" s="9"/>
    </row>
    <row r="7" spans="3:15" x14ac:dyDescent="0.35">
      <c r="C7" t="s">
        <v>16</v>
      </c>
      <c r="D7">
        <v>5</v>
      </c>
      <c r="E7">
        <v>67</v>
      </c>
      <c r="F7">
        <v>0.49</v>
      </c>
      <c r="N7" s="9"/>
    </row>
    <row r="8" spans="3:15" x14ac:dyDescent="0.35">
      <c r="O8" s="9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52428-C2AB-44A4-8F7E-13DF7E09DB3E}">
  <dimension ref="C2:G14"/>
  <sheetViews>
    <sheetView workbookViewId="0">
      <selection activeCell="U24" sqref="U24"/>
    </sheetView>
  </sheetViews>
  <sheetFormatPr defaultRowHeight="14.5" x14ac:dyDescent="0.35"/>
  <sheetData>
    <row r="2" spans="3:7" x14ac:dyDescent="0.35">
      <c r="C2" s="31" t="s">
        <v>28</v>
      </c>
      <c r="D2" s="31"/>
      <c r="F2" s="31" t="s">
        <v>29</v>
      </c>
      <c r="G2" s="31"/>
    </row>
    <row r="3" spans="3:7" x14ac:dyDescent="0.35">
      <c r="C3" s="1" t="s">
        <v>32</v>
      </c>
      <c r="D3" s="1" t="s">
        <v>27</v>
      </c>
      <c r="F3" s="1" t="s">
        <v>32</v>
      </c>
      <c r="G3" s="1" t="s">
        <v>27</v>
      </c>
    </row>
    <row r="4" spans="3:7" x14ac:dyDescent="0.35">
      <c r="C4" s="1" t="s">
        <v>20</v>
      </c>
      <c r="D4" s="1">
        <v>3.3000000000000002E-2</v>
      </c>
      <c r="F4" s="13"/>
      <c r="G4" s="13"/>
    </row>
    <row r="5" spans="3:7" x14ac:dyDescent="0.35">
      <c r="C5" s="1" t="s">
        <v>21</v>
      </c>
      <c r="D5" s="1">
        <v>0.28399999999999997</v>
      </c>
      <c r="F5" s="1" t="s">
        <v>21</v>
      </c>
      <c r="G5" s="1">
        <v>6.0999999999999999E-2</v>
      </c>
    </row>
    <row r="6" spans="3:7" x14ac:dyDescent="0.35">
      <c r="C6" s="1" t="s">
        <v>22</v>
      </c>
      <c r="D6" s="1">
        <v>0.72</v>
      </c>
      <c r="F6" s="1" t="s">
        <v>22</v>
      </c>
      <c r="G6" s="1">
        <v>0.317</v>
      </c>
    </row>
    <row r="7" spans="3:7" x14ac:dyDescent="0.35">
      <c r="C7" s="1" t="s">
        <v>23</v>
      </c>
      <c r="D7" s="1">
        <v>2.7719999999999998</v>
      </c>
      <c r="F7" s="1" t="s">
        <v>23</v>
      </c>
      <c r="G7" s="1">
        <v>1.589</v>
      </c>
    </row>
    <row r="8" spans="3:7" x14ac:dyDescent="0.35">
      <c r="C8" s="1">
        <v>0</v>
      </c>
      <c r="D8" s="1">
        <v>4.2489999999999997</v>
      </c>
      <c r="F8" s="1">
        <v>0</v>
      </c>
      <c r="G8" s="1">
        <v>4.3360000000000003</v>
      </c>
    </row>
    <row r="9" spans="3:7" x14ac:dyDescent="0.35">
      <c r="C9" s="1" t="s">
        <v>24</v>
      </c>
      <c r="D9" s="1">
        <v>1.486</v>
      </c>
      <c r="F9" s="1" t="s">
        <v>24</v>
      </c>
      <c r="G9" s="1">
        <v>1.496</v>
      </c>
    </row>
    <row r="10" spans="3:7" x14ac:dyDescent="0.35">
      <c r="C10" s="1" t="s">
        <v>25</v>
      </c>
      <c r="D10" s="1">
        <v>0.76300000000000001</v>
      </c>
      <c r="F10" s="1" t="s">
        <v>25</v>
      </c>
      <c r="G10" s="1">
        <v>0.27100000000000002</v>
      </c>
    </row>
    <row r="11" spans="3:7" x14ac:dyDescent="0.35">
      <c r="C11" s="1" t="s">
        <v>26</v>
      </c>
      <c r="D11" s="1">
        <v>0.28000000000000003</v>
      </c>
      <c r="F11" s="1" t="s">
        <v>26</v>
      </c>
      <c r="G11" s="1">
        <v>9.2999999999999999E-2</v>
      </c>
    </row>
    <row r="14" spans="3:7" x14ac:dyDescent="0.35">
      <c r="C14" t="s">
        <v>30</v>
      </c>
      <c r="D14">
        <f>SUM(D4:D11)</f>
        <v>10.587</v>
      </c>
      <c r="F14" t="s">
        <v>31</v>
      </c>
      <c r="G14">
        <f>SUM(G5:G11)</f>
        <v>8.163000000000002</v>
      </c>
    </row>
  </sheetData>
  <mergeCells count="2">
    <mergeCell ref="C2:D2"/>
    <mergeCell ref="F2:G2"/>
  </mergeCells>
  <phoneticPr fontId="3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34B10-5C1A-4354-A46D-5E8BCD2724D3}">
  <dimension ref="B2:O13"/>
  <sheetViews>
    <sheetView zoomScale="130" zoomScaleNormal="130" workbookViewId="0">
      <selection activeCell="D16" sqref="D16"/>
    </sheetView>
  </sheetViews>
  <sheetFormatPr defaultRowHeight="14.5" x14ac:dyDescent="0.35"/>
  <cols>
    <col min="2" max="2" width="5.7265625" bestFit="1" customWidth="1"/>
    <col min="3" max="4" width="34.6328125" customWidth="1"/>
    <col min="5" max="5" width="19" customWidth="1"/>
    <col min="6" max="15" width="9.7265625" customWidth="1"/>
  </cols>
  <sheetData>
    <row r="2" spans="2:15" x14ac:dyDescent="0.35">
      <c r="B2" s="32" t="s">
        <v>41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2:15" x14ac:dyDescent="0.35">
      <c r="B3" s="14" t="s">
        <v>33</v>
      </c>
      <c r="C3" s="15" t="s">
        <v>48</v>
      </c>
      <c r="D3" s="15" t="s">
        <v>55</v>
      </c>
      <c r="E3" s="15" t="s">
        <v>39</v>
      </c>
      <c r="F3" s="15" t="s">
        <v>40</v>
      </c>
      <c r="G3" s="15" t="s">
        <v>49</v>
      </c>
      <c r="H3" s="15" t="s">
        <v>42</v>
      </c>
      <c r="I3" s="15" t="s">
        <v>34</v>
      </c>
      <c r="J3" s="15" t="s">
        <v>43</v>
      </c>
      <c r="K3" s="15" t="s">
        <v>44</v>
      </c>
      <c r="L3" s="15" t="s">
        <v>35</v>
      </c>
      <c r="M3" s="15" t="s">
        <v>45</v>
      </c>
      <c r="N3" s="15" t="s">
        <v>46</v>
      </c>
      <c r="O3" s="16" t="s">
        <v>47</v>
      </c>
    </row>
    <row r="4" spans="2:15" x14ac:dyDescent="0.35">
      <c r="B4" s="14">
        <v>1</v>
      </c>
      <c r="C4" s="14" t="s">
        <v>50</v>
      </c>
      <c r="D4" s="14" t="s">
        <v>60</v>
      </c>
      <c r="E4" s="15" t="s">
        <v>36</v>
      </c>
      <c r="F4" s="17">
        <v>0.69</v>
      </c>
      <c r="G4" s="17">
        <v>0.34</v>
      </c>
      <c r="H4" s="14" t="s">
        <v>37</v>
      </c>
      <c r="I4" s="17">
        <v>0.28000000000000003</v>
      </c>
      <c r="J4" s="17">
        <v>0.73</v>
      </c>
      <c r="K4" s="14" t="s">
        <v>37</v>
      </c>
      <c r="L4" s="17">
        <v>0.2</v>
      </c>
      <c r="M4" s="14" t="s">
        <v>37</v>
      </c>
      <c r="N4" s="14" t="s">
        <v>37</v>
      </c>
      <c r="O4" s="14">
        <v>3.6</v>
      </c>
    </row>
    <row r="5" spans="2:15" x14ac:dyDescent="0.35">
      <c r="B5" s="14">
        <v>9</v>
      </c>
      <c r="C5" s="14" t="s">
        <v>51</v>
      </c>
      <c r="D5" s="14" t="s">
        <v>56</v>
      </c>
      <c r="E5" s="15" t="s">
        <v>36</v>
      </c>
      <c r="F5" s="17">
        <v>0.6</v>
      </c>
      <c r="G5" s="17">
        <v>0.59</v>
      </c>
      <c r="H5" s="17">
        <v>0.75</v>
      </c>
      <c r="I5" s="17">
        <v>0.49</v>
      </c>
      <c r="J5" s="17">
        <v>1</v>
      </c>
      <c r="K5" s="17">
        <v>0.91</v>
      </c>
      <c r="L5" s="17">
        <v>0.35</v>
      </c>
      <c r="M5" s="17">
        <v>0.01</v>
      </c>
      <c r="N5" s="17">
        <v>0.69</v>
      </c>
      <c r="O5" s="14">
        <v>3.1</v>
      </c>
    </row>
    <row r="6" spans="2:15" x14ac:dyDescent="0.35">
      <c r="B6" s="14">
        <v>5</v>
      </c>
      <c r="C6" s="14" t="s">
        <v>52</v>
      </c>
      <c r="D6" s="14" t="s">
        <v>57</v>
      </c>
      <c r="E6" s="15" t="s">
        <v>36</v>
      </c>
      <c r="F6" s="14" t="s">
        <v>37</v>
      </c>
      <c r="G6" s="17">
        <v>0.98</v>
      </c>
      <c r="H6" s="17">
        <v>0.36</v>
      </c>
      <c r="I6" s="17">
        <v>0.37</v>
      </c>
      <c r="J6" s="17">
        <v>0.65</v>
      </c>
      <c r="K6" s="17">
        <v>0.68</v>
      </c>
      <c r="L6" s="17">
        <v>0.27</v>
      </c>
      <c r="M6" s="17">
        <v>0.43</v>
      </c>
      <c r="N6" s="17">
        <v>0.38</v>
      </c>
      <c r="O6" s="14">
        <v>2.4</v>
      </c>
    </row>
    <row r="7" spans="2:15" x14ac:dyDescent="0.35">
      <c r="B7" s="14">
        <v>10</v>
      </c>
      <c r="C7" s="14" t="s">
        <v>51</v>
      </c>
      <c r="D7" s="14" t="s">
        <v>63</v>
      </c>
      <c r="E7" s="15" t="s">
        <v>38</v>
      </c>
      <c r="F7" s="17">
        <v>0.66</v>
      </c>
      <c r="G7" s="17">
        <v>0.65</v>
      </c>
      <c r="H7" s="17">
        <v>0.44</v>
      </c>
      <c r="I7" s="17">
        <v>0.45</v>
      </c>
      <c r="J7" s="17">
        <v>0.64</v>
      </c>
      <c r="K7" s="17">
        <v>0.93</v>
      </c>
      <c r="L7" s="17">
        <v>0.3</v>
      </c>
      <c r="M7" s="17">
        <v>0.01</v>
      </c>
      <c r="N7" s="17">
        <v>0.34</v>
      </c>
      <c r="O7" s="14">
        <v>2.1</v>
      </c>
    </row>
    <row r="8" spans="2:15" x14ac:dyDescent="0.35">
      <c r="B8" s="14">
        <v>6</v>
      </c>
      <c r="C8" s="14" t="s">
        <v>52</v>
      </c>
      <c r="D8" s="14" t="s">
        <v>64</v>
      </c>
      <c r="E8" s="15" t="s">
        <v>38</v>
      </c>
      <c r="F8" s="17">
        <v>0.91</v>
      </c>
      <c r="G8" s="17">
        <v>0.86</v>
      </c>
      <c r="H8" s="17">
        <v>0.85</v>
      </c>
      <c r="I8" s="17">
        <v>0.64</v>
      </c>
      <c r="J8" s="17">
        <v>0.83</v>
      </c>
      <c r="K8" s="17">
        <v>0.9</v>
      </c>
      <c r="L8" s="17">
        <v>0.5</v>
      </c>
      <c r="M8" s="17">
        <v>0.79</v>
      </c>
      <c r="N8" s="17">
        <v>0.75</v>
      </c>
      <c r="O8" s="14">
        <v>1.7</v>
      </c>
    </row>
    <row r="9" spans="2:15" x14ac:dyDescent="0.35">
      <c r="B9" s="14">
        <v>8</v>
      </c>
      <c r="C9" s="14" t="s">
        <v>53</v>
      </c>
      <c r="D9" s="14" t="s">
        <v>65</v>
      </c>
      <c r="E9" s="15" t="s">
        <v>38</v>
      </c>
      <c r="F9" s="17">
        <v>0.86</v>
      </c>
      <c r="G9" s="17">
        <v>0.67</v>
      </c>
      <c r="H9" s="14" t="s">
        <v>37</v>
      </c>
      <c r="I9" s="17">
        <v>0.62</v>
      </c>
      <c r="J9" s="17">
        <v>0.78</v>
      </c>
      <c r="K9" s="14" t="s">
        <v>37</v>
      </c>
      <c r="L9" s="17">
        <v>0.53</v>
      </c>
      <c r="M9" s="17">
        <v>0.76</v>
      </c>
      <c r="N9" s="17">
        <v>0.91</v>
      </c>
      <c r="O9" s="14">
        <v>1.5</v>
      </c>
    </row>
    <row r="10" spans="2:15" x14ac:dyDescent="0.35">
      <c r="B10" s="14">
        <v>3</v>
      </c>
      <c r="C10" s="14" t="s">
        <v>54</v>
      </c>
      <c r="D10" t="s">
        <v>58</v>
      </c>
      <c r="E10" s="15" t="s">
        <v>36</v>
      </c>
      <c r="F10" s="17">
        <v>0.28999999999999998</v>
      </c>
      <c r="G10" s="17">
        <v>0.14000000000000001</v>
      </c>
      <c r="H10" s="17">
        <v>0.15</v>
      </c>
      <c r="I10" s="17">
        <v>0.12</v>
      </c>
      <c r="J10" s="17">
        <v>0.3</v>
      </c>
      <c r="K10" s="17">
        <v>0.43</v>
      </c>
      <c r="L10" s="17">
        <v>0.22</v>
      </c>
      <c r="M10" s="17">
        <v>0.25</v>
      </c>
      <c r="N10" s="17">
        <v>0.05</v>
      </c>
      <c r="O10" s="14">
        <v>1.4</v>
      </c>
    </row>
    <row r="11" spans="2:15" x14ac:dyDescent="0.35">
      <c r="B11" s="14">
        <v>7</v>
      </c>
      <c r="C11" s="14" t="s">
        <v>53</v>
      </c>
      <c r="D11" s="14" t="s">
        <v>59</v>
      </c>
      <c r="E11" s="15" t="s">
        <v>36</v>
      </c>
      <c r="F11" s="17">
        <v>0.5</v>
      </c>
      <c r="G11" s="17">
        <v>0.36</v>
      </c>
      <c r="H11" s="17">
        <v>0.81</v>
      </c>
      <c r="I11" s="17">
        <v>0.22</v>
      </c>
      <c r="J11" s="17">
        <v>0.28999999999999998</v>
      </c>
      <c r="K11" s="17">
        <v>0.36</v>
      </c>
      <c r="L11" s="17">
        <v>0.22</v>
      </c>
      <c r="M11" s="17">
        <v>0.31</v>
      </c>
      <c r="N11" s="17">
        <v>0.11</v>
      </c>
      <c r="O11" s="14">
        <v>1.3</v>
      </c>
    </row>
    <row r="12" spans="2:15" x14ac:dyDescent="0.35">
      <c r="B12" s="14">
        <v>2</v>
      </c>
      <c r="C12" s="14" t="s">
        <v>50</v>
      </c>
      <c r="D12" s="14" t="s">
        <v>66</v>
      </c>
      <c r="E12" s="15" t="s">
        <v>38</v>
      </c>
      <c r="F12" s="14" t="s">
        <v>37</v>
      </c>
      <c r="G12" s="14" t="s">
        <v>37</v>
      </c>
      <c r="H12" s="17">
        <v>0.97</v>
      </c>
      <c r="I12" s="17">
        <v>0.54</v>
      </c>
      <c r="J12" s="17">
        <v>0.67</v>
      </c>
      <c r="K12" s="17">
        <v>0.63</v>
      </c>
      <c r="L12" s="17">
        <v>0.52</v>
      </c>
      <c r="M12" s="17">
        <v>0.64</v>
      </c>
      <c r="N12" s="17">
        <v>0.38</v>
      </c>
      <c r="O12" s="14">
        <v>1.3</v>
      </c>
    </row>
    <row r="13" spans="2:15" x14ac:dyDescent="0.35">
      <c r="B13" s="14">
        <v>4</v>
      </c>
      <c r="C13" s="14" t="s">
        <v>54</v>
      </c>
      <c r="D13" t="s">
        <v>67</v>
      </c>
      <c r="E13" s="15" t="s">
        <v>38</v>
      </c>
      <c r="F13" s="17">
        <v>0.65</v>
      </c>
      <c r="G13" s="17">
        <v>0.33</v>
      </c>
      <c r="H13" s="17">
        <v>0.38</v>
      </c>
      <c r="I13" s="17">
        <v>0.64</v>
      </c>
      <c r="J13" s="17">
        <v>0.55000000000000004</v>
      </c>
      <c r="K13" s="17">
        <v>0.61</v>
      </c>
      <c r="L13" s="17">
        <v>0.63</v>
      </c>
      <c r="M13" s="17">
        <v>0.52</v>
      </c>
      <c r="N13" s="17">
        <v>0.38</v>
      </c>
      <c r="O13" s="14">
        <v>0.9</v>
      </c>
    </row>
  </sheetData>
  <mergeCells count="1">
    <mergeCell ref="B2:O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8CAC3-D140-4494-891A-3261D873AAE9}">
  <dimension ref="B2:P27"/>
  <sheetViews>
    <sheetView tabSelected="1" topLeftCell="C10" zoomScale="130" zoomScaleNormal="130" workbookViewId="0">
      <selection activeCell="K23" sqref="K23"/>
    </sheetView>
  </sheetViews>
  <sheetFormatPr defaultRowHeight="14.5" x14ac:dyDescent="0.35"/>
  <cols>
    <col min="2" max="2" width="5.7265625" bestFit="1" customWidth="1"/>
    <col min="3" max="4" width="34.6328125" customWidth="1"/>
    <col min="5" max="5" width="19" customWidth="1"/>
    <col min="6" max="13" width="9.7265625" customWidth="1"/>
    <col min="14" max="14" width="22.90625" bestFit="1" customWidth="1"/>
    <col min="15" max="15" width="9.7265625" customWidth="1"/>
  </cols>
  <sheetData>
    <row r="2" spans="2:15" x14ac:dyDescent="0.35">
      <c r="B2" s="32" t="s">
        <v>41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2:15" x14ac:dyDescent="0.35">
      <c r="B3" s="14" t="s">
        <v>33</v>
      </c>
      <c r="C3" s="15" t="s">
        <v>48</v>
      </c>
      <c r="D3" s="15" t="s">
        <v>55</v>
      </c>
      <c r="E3" s="15" t="s">
        <v>39</v>
      </c>
      <c r="F3" s="15" t="s">
        <v>40</v>
      </c>
      <c r="G3" s="15" t="s">
        <v>49</v>
      </c>
      <c r="H3" s="15" t="s">
        <v>42</v>
      </c>
      <c r="I3" s="15" t="s">
        <v>34</v>
      </c>
      <c r="J3" s="15" t="s">
        <v>43</v>
      </c>
      <c r="K3" s="15" t="s">
        <v>44</v>
      </c>
      <c r="L3" s="15" t="s">
        <v>35</v>
      </c>
      <c r="M3" s="15" t="s">
        <v>45</v>
      </c>
      <c r="N3" s="15" t="s">
        <v>46</v>
      </c>
      <c r="O3" s="16" t="s">
        <v>47</v>
      </c>
    </row>
    <row r="4" spans="2:15" x14ac:dyDescent="0.35">
      <c r="B4" s="14">
        <v>1</v>
      </c>
      <c r="C4" s="14" t="s">
        <v>50</v>
      </c>
      <c r="D4" s="14" t="s">
        <v>60</v>
      </c>
      <c r="E4" s="15" t="s">
        <v>36</v>
      </c>
      <c r="F4" s="17">
        <v>0.69</v>
      </c>
      <c r="G4" s="17">
        <v>0.34</v>
      </c>
      <c r="H4" s="14" t="s">
        <v>37</v>
      </c>
      <c r="I4" s="17">
        <v>0.28000000000000003</v>
      </c>
      <c r="J4" s="17">
        <v>0.73</v>
      </c>
      <c r="K4" s="14" t="s">
        <v>37</v>
      </c>
      <c r="L4" s="17">
        <v>0.2</v>
      </c>
      <c r="M4" s="14" t="s">
        <v>37</v>
      </c>
      <c r="N4" s="14" t="s">
        <v>37</v>
      </c>
      <c r="O4" s="14">
        <v>3.6</v>
      </c>
    </row>
    <row r="5" spans="2:15" x14ac:dyDescent="0.35">
      <c r="B5" s="14">
        <v>2</v>
      </c>
      <c r="C5" s="14" t="s">
        <v>50</v>
      </c>
      <c r="D5" s="14" t="s">
        <v>68</v>
      </c>
      <c r="E5" s="15" t="s">
        <v>38</v>
      </c>
      <c r="F5" s="14" t="s">
        <v>37</v>
      </c>
      <c r="G5" s="14" t="s">
        <v>37</v>
      </c>
      <c r="H5" s="17">
        <v>0.97</v>
      </c>
      <c r="I5" s="17">
        <v>0.54</v>
      </c>
      <c r="J5" s="17">
        <v>0.67</v>
      </c>
      <c r="K5" s="17">
        <v>0.63</v>
      </c>
      <c r="L5" s="17">
        <v>0.52</v>
      </c>
      <c r="M5" s="17">
        <v>0.64</v>
      </c>
      <c r="N5" s="17">
        <v>0.38</v>
      </c>
      <c r="O5" s="14">
        <v>1.3</v>
      </c>
    </row>
    <row r="6" spans="2:15" x14ac:dyDescent="0.35">
      <c r="B6" s="14">
        <v>9</v>
      </c>
      <c r="C6" s="14" t="s">
        <v>51</v>
      </c>
      <c r="D6" s="14" t="s">
        <v>61</v>
      </c>
      <c r="E6" s="15" t="s">
        <v>36</v>
      </c>
      <c r="F6" s="17">
        <v>0.6</v>
      </c>
      <c r="G6" s="17">
        <v>0.59</v>
      </c>
      <c r="H6" s="17">
        <v>0.75</v>
      </c>
      <c r="I6" s="17">
        <v>0.49</v>
      </c>
      <c r="J6" s="17">
        <v>1</v>
      </c>
      <c r="K6" s="17">
        <v>0.91</v>
      </c>
      <c r="L6" s="17">
        <v>0.35</v>
      </c>
      <c r="M6" s="17">
        <v>0.01</v>
      </c>
      <c r="N6" s="17">
        <v>0.69</v>
      </c>
      <c r="O6" s="14">
        <v>3.1</v>
      </c>
    </row>
    <row r="7" spans="2:15" x14ac:dyDescent="0.35">
      <c r="B7" s="14">
        <v>10</v>
      </c>
      <c r="C7" s="14" t="s">
        <v>51</v>
      </c>
      <c r="D7" s="14" t="s">
        <v>69</v>
      </c>
      <c r="E7" s="15" t="s">
        <v>38</v>
      </c>
      <c r="F7" s="17">
        <v>0.66</v>
      </c>
      <c r="G7" s="17">
        <v>0.65</v>
      </c>
      <c r="H7" s="17">
        <v>0.44</v>
      </c>
      <c r="I7" s="17">
        <v>0.45</v>
      </c>
      <c r="J7" s="17">
        <v>0.64</v>
      </c>
      <c r="K7" s="17">
        <v>0.93</v>
      </c>
      <c r="L7" s="17">
        <v>0.3</v>
      </c>
      <c r="M7" s="17">
        <v>0.01</v>
      </c>
      <c r="N7" s="17">
        <v>0.34</v>
      </c>
      <c r="O7" s="14">
        <v>2.1</v>
      </c>
    </row>
    <row r="8" spans="2:15" x14ac:dyDescent="0.35">
      <c r="B8" s="14">
        <v>5</v>
      </c>
      <c r="C8" s="14" t="s">
        <v>52</v>
      </c>
      <c r="D8" s="14" t="s">
        <v>62</v>
      </c>
      <c r="E8" s="15" t="s">
        <v>36</v>
      </c>
      <c r="F8" s="14" t="s">
        <v>37</v>
      </c>
      <c r="G8" s="17">
        <v>0.98</v>
      </c>
      <c r="H8" s="17">
        <v>0.36</v>
      </c>
      <c r="I8" s="17">
        <v>0.37</v>
      </c>
      <c r="J8" s="17">
        <v>0.65</v>
      </c>
      <c r="K8" s="17">
        <v>0.68</v>
      </c>
      <c r="L8" s="17">
        <v>0.27</v>
      </c>
      <c r="M8" s="17">
        <v>0.43</v>
      </c>
      <c r="N8" s="17">
        <v>0.38</v>
      </c>
      <c r="O8" s="14">
        <v>2.4</v>
      </c>
    </row>
    <row r="9" spans="2:15" x14ac:dyDescent="0.35">
      <c r="B9" s="14">
        <v>6</v>
      </c>
      <c r="C9" s="14" t="s">
        <v>52</v>
      </c>
      <c r="D9" s="14" t="s">
        <v>70</v>
      </c>
      <c r="E9" s="15" t="s">
        <v>38</v>
      </c>
      <c r="F9" s="17">
        <v>0.91</v>
      </c>
      <c r="G9" s="17">
        <v>0.86</v>
      </c>
      <c r="H9" s="17">
        <v>0.85</v>
      </c>
      <c r="I9" s="17">
        <v>0.64</v>
      </c>
      <c r="J9" s="17">
        <v>0.83</v>
      </c>
      <c r="K9" s="17">
        <v>0.9</v>
      </c>
      <c r="L9" s="17">
        <v>0.5</v>
      </c>
      <c r="M9" s="17">
        <v>0.79</v>
      </c>
      <c r="N9" s="17">
        <v>0.75</v>
      </c>
      <c r="O9" s="14">
        <v>1.7</v>
      </c>
    </row>
    <row r="10" spans="2:15" x14ac:dyDescent="0.35">
      <c r="B10" s="14">
        <v>7</v>
      </c>
      <c r="C10" s="14" t="s">
        <v>53</v>
      </c>
      <c r="D10" s="14" t="s">
        <v>59</v>
      </c>
      <c r="E10" s="15" t="s">
        <v>36</v>
      </c>
      <c r="F10" s="17">
        <v>0.5</v>
      </c>
      <c r="G10" s="17">
        <v>0.36</v>
      </c>
      <c r="H10" s="17">
        <v>0.81</v>
      </c>
      <c r="I10" s="17">
        <v>0.22</v>
      </c>
      <c r="J10" s="17">
        <v>0.28999999999999998</v>
      </c>
      <c r="K10" s="17">
        <v>0.36</v>
      </c>
      <c r="L10" s="17">
        <v>0.22</v>
      </c>
      <c r="M10" s="17">
        <v>0.31</v>
      </c>
      <c r="N10" s="17">
        <v>0.11</v>
      </c>
      <c r="O10" s="14">
        <v>1.3</v>
      </c>
    </row>
    <row r="11" spans="2:15" x14ac:dyDescent="0.35">
      <c r="B11" s="14">
        <v>8</v>
      </c>
      <c r="C11" s="14" t="s">
        <v>53</v>
      </c>
      <c r="D11" s="14" t="s">
        <v>65</v>
      </c>
      <c r="E11" s="15" t="s">
        <v>38</v>
      </c>
      <c r="F11" s="17">
        <v>0.86</v>
      </c>
      <c r="G11" s="17">
        <v>0.67</v>
      </c>
      <c r="H11" s="14" t="s">
        <v>37</v>
      </c>
      <c r="I11" s="17">
        <v>0.62</v>
      </c>
      <c r="J11" s="17">
        <v>0.78</v>
      </c>
      <c r="K11" s="14" t="s">
        <v>37</v>
      </c>
      <c r="L11" s="17">
        <v>0.53</v>
      </c>
      <c r="M11" s="17">
        <v>0.76</v>
      </c>
      <c r="N11" s="17">
        <v>0.91</v>
      </c>
      <c r="O11" s="14">
        <v>1.5</v>
      </c>
    </row>
    <row r="12" spans="2:15" x14ac:dyDescent="0.35">
      <c r="B12" s="14">
        <v>3</v>
      </c>
      <c r="C12" s="14" t="s">
        <v>54</v>
      </c>
      <c r="D12" t="s">
        <v>72</v>
      </c>
      <c r="E12" s="15" t="s">
        <v>36</v>
      </c>
      <c r="F12" s="17">
        <v>0.28999999999999998</v>
      </c>
      <c r="G12" s="17">
        <v>0.14000000000000001</v>
      </c>
      <c r="H12" s="17">
        <v>0.15</v>
      </c>
      <c r="I12" s="17">
        <v>0.12</v>
      </c>
      <c r="J12" s="17">
        <v>0.3</v>
      </c>
      <c r="K12" s="17">
        <v>0.43</v>
      </c>
      <c r="L12" s="17">
        <v>0.22</v>
      </c>
      <c r="M12" s="17">
        <v>0.25</v>
      </c>
      <c r="N12" s="17">
        <v>0.05</v>
      </c>
      <c r="O12" s="14">
        <v>1.4</v>
      </c>
    </row>
    <row r="13" spans="2:15" x14ac:dyDescent="0.35">
      <c r="B13" s="14">
        <v>4</v>
      </c>
      <c r="C13" s="14" t="s">
        <v>54</v>
      </c>
      <c r="D13" t="s">
        <v>71</v>
      </c>
      <c r="E13" s="15" t="s">
        <v>38</v>
      </c>
      <c r="F13" s="17">
        <v>0.65</v>
      </c>
      <c r="G13" s="17">
        <v>0.33</v>
      </c>
      <c r="H13" s="17">
        <v>0.38</v>
      </c>
      <c r="I13" s="17">
        <v>0.64</v>
      </c>
      <c r="J13" s="17">
        <v>0.55000000000000004</v>
      </c>
      <c r="K13" s="17">
        <v>0.61</v>
      </c>
      <c r="L13" s="17">
        <v>0.63</v>
      </c>
      <c r="M13" s="17">
        <v>0.52</v>
      </c>
      <c r="N13" s="17">
        <v>0.38</v>
      </c>
      <c r="O13" s="14">
        <v>0.9</v>
      </c>
    </row>
    <row r="17" spans="14:16" x14ac:dyDescent="0.35">
      <c r="N17" s="15" t="s">
        <v>55</v>
      </c>
      <c r="O17" s="15" t="s">
        <v>43</v>
      </c>
      <c r="P17" s="15" t="s">
        <v>35</v>
      </c>
    </row>
    <row r="18" spans="14:16" x14ac:dyDescent="0.35">
      <c r="N18" s="14" t="s">
        <v>60</v>
      </c>
      <c r="O18" s="17">
        <v>0.73</v>
      </c>
      <c r="P18" s="17">
        <v>0.2</v>
      </c>
    </row>
    <row r="19" spans="14:16" x14ac:dyDescent="0.35">
      <c r="N19" s="14" t="s">
        <v>68</v>
      </c>
      <c r="O19" s="17">
        <v>0.67</v>
      </c>
      <c r="P19" s="17">
        <v>0.52</v>
      </c>
    </row>
    <row r="20" spans="14:16" x14ac:dyDescent="0.35">
      <c r="N20" s="14" t="s">
        <v>61</v>
      </c>
      <c r="O20" s="17">
        <v>1</v>
      </c>
      <c r="P20" s="17">
        <v>0.35</v>
      </c>
    </row>
    <row r="21" spans="14:16" x14ac:dyDescent="0.35">
      <c r="N21" s="14" t="s">
        <v>69</v>
      </c>
      <c r="O21" s="17">
        <v>0.64</v>
      </c>
      <c r="P21" s="17">
        <v>0.3</v>
      </c>
    </row>
    <row r="22" spans="14:16" x14ac:dyDescent="0.35">
      <c r="N22" s="14" t="s">
        <v>62</v>
      </c>
      <c r="O22" s="17">
        <v>0.65</v>
      </c>
      <c r="P22" s="17">
        <v>0.27</v>
      </c>
    </row>
    <row r="23" spans="14:16" x14ac:dyDescent="0.35">
      <c r="N23" s="14" t="s">
        <v>70</v>
      </c>
      <c r="O23" s="17">
        <v>0.83</v>
      </c>
      <c r="P23" s="17">
        <v>0.5</v>
      </c>
    </row>
    <row r="24" spans="14:16" x14ac:dyDescent="0.35">
      <c r="N24" s="14" t="s">
        <v>59</v>
      </c>
      <c r="O24" s="17">
        <v>0.28999999999999998</v>
      </c>
      <c r="P24" s="17">
        <v>0.22</v>
      </c>
    </row>
    <row r="25" spans="14:16" x14ac:dyDescent="0.35">
      <c r="N25" s="14" t="s">
        <v>65</v>
      </c>
      <c r="O25" s="17">
        <v>0.78</v>
      </c>
      <c r="P25" s="17">
        <v>0.53</v>
      </c>
    </row>
    <row r="26" spans="14:16" x14ac:dyDescent="0.35">
      <c r="N26" s="1" t="s">
        <v>72</v>
      </c>
      <c r="O26" s="17">
        <v>0.3</v>
      </c>
      <c r="P26" s="17">
        <v>0.22</v>
      </c>
    </row>
    <row r="27" spans="14:16" x14ac:dyDescent="0.35">
      <c r="N27" s="1" t="s">
        <v>71</v>
      </c>
      <c r="O27" s="17">
        <v>0.55000000000000004</v>
      </c>
      <c r="P27" s="17">
        <v>0.63</v>
      </c>
    </row>
  </sheetData>
  <mergeCells count="1">
    <mergeCell ref="B2:O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56C08-A15A-4FC7-9E56-400A8C421675}">
  <dimension ref="C3:N13"/>
  <sheetViews>
    <sheetView topLeftCell="B1" workbookViewId="0">
      <selection activeCell="J15" sqref="J15"/>
    </sheetView>
  </sheetViews>
  <sheetFormatPr defaultRowHeight="14.5" x14ac:dyDescent="0.35"/>
  <cols>
    <col min="3" max="3" width="10.36328125" customWidth="1"/>
    <col min="4" max="4" width="10.7265625" customWidth="1"/>
    <col min="5" max="5" width="10.81640625" customWidth="1"/>
    <col min="6" max="6" width="10.26953125" customWidth="1"/>
    <col min="7" max="7" width="9.6328125" customWidth="1"/>
    <col min="10" max="10" width="31.54296875" customWidth="1"/>
    <col min="11" max="11" width="10.26953125" bestFit="1" customWidth="1"/>
    <col min="12" max="12" width="7.81640625" bestFit="1" customWidth="1"/>
    <col min="13" max="13" width="10.453125" bestFit="1" customWidth="1"/>
    <col min="14" max="14" width="37.1796875" customWidth="1"/>
  </cols>
  <sheetData>
    <row r="3" spans="3:14" x14ac:dyDescent="0.35">
      <c r="C3" s="18" t="s">
        <v>73</v>
      </c>
      <c r="D3" s="20" t="s">
        <v>74</v>
      </c>
      <c r="E3" s="20" t="s">
        <v>75</v>
      </c>
      <c r="F3" s="20" t="s">
        <v>76</v>
      </c>
      <c r="G3" s="20" t="s">
        <v>77</v>
      </c>
    </row>
    <row r="4" spans="3:14" x14ac:dyDescent="0.35">
      <c r="C4" s="19">
        <v>1</v>
      </c>
      <c r="D4" s="19">
        <v>25</v>
      </c>
      <c r="E4" s="19">
        <v>30</v>
      </c>
      <c r="F4" s="21" t="s">
        <v>79</v>
      </c>
      <c r="G4" s="19">
        <v>7</v>
      </c>
    </row>
    <row r="5" spans="3:14" x14ac:dyDescent="0.35">
      <c r="C5" s="19">
        <v>2</v>
      </c>
      <c r="D5" s="19">
        <v>90</v>
      </c>
      <c r="E5" s="19">
        <v>10</v>
      </c>
      <c r="F5" s="21" t="s">
        <v>80</v>
      </c>
      <c r="G5" s="19">
        <v>7</v>
      </c>
    </row>
    <row r="6" spans="3:14" x14ac:dyDescent="0.35">
      <c r="C6" s="19">
        <v>3</v>
      </c>
      <c r="D6" s="19">
        <v>25</v>
      </c>
      <c r="E6" s="19">
        <v>10</v>
      </c>
      <c r="F6" s="21" t="s">
        <v>81</v>
      </c>
      <c r="G6" s="19">
        <v>12</v>
      </c>
      <c r="J6" s="23" t="s">
        <v>82</v>
      </c>
      <c r="K6" s="22" t="s">
        <v>83</v>
      </c>
      <c r="L6" s="22" t="s">
        <v>84</v>
      </c>
      <c r="M6" s="22" t="s">
        <v>85</v>
      </c>
      <c r="N6" s="23" t="s">
        <v>86</v>
      </c>
    </row>
    <row r="7" spans="3:14" ht="40.5" customHeight="1" x14ac:dyDescent="0.35">
      <c r="C7" s="19">
        <v>4</v>
      </c>
      <c r="D7" s="19">
        <v>90</v>
      </c>
      <c r="E7" s="19">
        <v>30</v>
      </c>
      <c r="F7" s="21" t="s">
        <v>81</v>
      </c>
      <c r="G7" s="19">
        <v>2</v>
      </c>
      <c r="J7" s="24" t="s">
        <v>87</v>
      </c>
      <c r="K7" s="25" t="s">
        <v>88</v>
      </c>
      <c r="L7" s="25" t="s">
        <v>88</v>
      </c>
      <c r="M7" s="25" t="s">
        <v>88</v>
      </c>
      <c r="N7" s="26" t="s">
        <v>89</v>
      </c>
    </row>
    <row r="8" spans="3:14" ht="40.5" customHeight="1" x14ac:dyDescent="0.35">
      <c r="C8" s="19">
        <v>5</v>
      </c>
      <c r="D8" s="19">
        <v>60</v>
      </c>
      <c r="E8" s="19">
        <v>30</v>
      </c>
      <c r="F8" s="21" t="s">
        <v>80</v>
      </c>
      <c r="G8" s="19">
        <v>2</v>
      </c>
      <c r="J8" s="24" t="s">
        <v>90</v>
      </c>
      <c r="K8" s="25" t="s">
        <v>91</v>
      </c>
      <c r="L8" s="25" t="s">
        <v>88</v>
      </c>
      <c r="M8" s="25" t="s">
        <v>88</v>
      </c>
      <c r="N8" s="26" t="s">
        <v>100</v>
      </c>
    </row>
    <row r="9" spans="3:14" ht="40.5" customHeight="1" x14ac:dyDescent="0.35">
      <c r="C9" s="19">
        <v>6</v>
      </c>
      <c r="D9" s="19">
        <v>60</v>
      </c>
      <c r="E9" s="19">
        <v>10</v>
      </c>
      <c r="F9" s="21" t="s">
        <v>79</v>
      </c>
      <c r="G9" s="19">
        <v>12</v>
      </c>
      <c r="J9" s="24" t="s">
        <v>92</v>
      </c>
      <c r="K9" s="25" t="s">
        <v>93</v>
      </c>
      <c r="L9" s="25" t="s">
        <v>91</v>
      </c>
      <c r="M9" s="25" t="s">
        <v>93</v>
      </c>
      <c r="N9" s="26" t="s">
        <v>101</v>
      </c>
    </row>
    <row r="10" spans="3:14" ht="40.5" customHeight="1" x14ac:dyDescent="0.35">
      <c r="C10" s="19">
        <v>7</v>
      </c>
      <c r="D10" s="19">
        <v>25</v>
      </c>
      <c r="E10" s="19">
        <v>20</v>
      </c>
      <c r="F10" s="21" t="s">
        <v>80</v>
      </c>
      <c r="G10" s="19">
        <v>12</v>
      </c>
      <c r="J10" s="24" t="s">
        <v>94</v>
      </c>
      <c r="K10" s="25" t="s">
        <v>93</v>
      </c>
      <c r="L10" s="25" t="s">
        <v>91</v>
      </c>
      <c r="M10" s="25" t="s">
        <v>93</v>
      </c>
      <c r="N10" s="26" t="s">
        <v>98</v>
      </c>
    </row>
    <row r="11" spans="3:14" ht="48" customHeight="1" x14ac:dyDescent="0.35">
      <c r="C11" s="19">
        <v>8</v>
      </c>
      <c r="D11" s="19">
        <v>90</v>
      </c>
      <c r="E11" s="19">
        <v>20</v>
      </c>
      <c r="F11" s="21" t="s">
        <v>79</v>
      </c>
      <c r="G11" s="19">
        <v>2</v>
      </c>
      <c r="J11" s="24" t="s">
        <v>95</v>
      </c>
      <c r="K11" s="25" t="s">
        <v>91</v>
      </c>
      <c r="L11" s="25" t="s">
        <v>91</v>
      </c>
      <c r="M11" s="25" t="s">
        <v>91</v>
      </c>
      <c r="N11" s="26" t="s">
        <v>99</v>
      </c>
    </row>
    <row r="12" spans="3:14" ht="46.5" customHeight="1" x14ac:dyDescent="0.35">
      <c r="C12" s="19">
        <v>9</v>
      </c>
      <c r="D12" s="19">
        <v>60</v>
      </c>
      <c r="E12" s="19">
        <v>20</v>
      </c>
      <c r="F12" s="21" t="s">
        <v>81</v>
      </c>
      <c r="G12" s="19">
        <v>7</v>
      </c>
      <c r="J12" s="24" t="s">
        <v>96</v>
      </c>
      <c r="K12" s="25" t="s">
        <v>91</v>
      </c>
      <c r="L12" s="25" t="s">
        <v>88</v>
      </c>
      <c r="M12" s="25" t="s">
        <v>88</v>
      </c>
      <c r="N12" s="26" t="s">
        <v>97</v>
      </c>
    </row>
    <row r="13" spans="3:14" x14ac:dyDescent="0.35">
      <c r="C13" s="19" t="s">
        <v>78</v>
      </c>
      <c r="D13" s="19">
        <v>60</v>
      </c>
      <c r="E13" s="19">
        <v>20</v>
      </c>
      <c r="F13" s="21" t="s">
        <v>81</v>
      </c>
      <c r="G13" s="19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UBH - Post Sep Powder</vt:lpstr>
      <vt:lpstr>UBH - Pre Sep Powder</vt:lpstr>
      <vt:lpstr>Hydrocylone</vt:lpstr>
      <vt:lpstr>Electrostatic Field Sep</vt:lpstr>
      <vt:lpstr>Ionic Liquid Screener</vt:lpstr>
      <vt:lpstr>Ionic Liquid Screener (2)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Bridge, Ollie</dc:creator>
  <cp:lastModifiedBy>Bridge, Ollie</cp:lastModifiedBy>
  <dcterms:created xsi:type="dcterms:W3CDTF">2026-03-03T14:04:48Z</dcterms:created>
  <dcterms:modified xsi:type="dcterms:W3CDTF">2026-08-25T20:58:04Z</dcterms:modified>
</cp:coreProperties>
</file>